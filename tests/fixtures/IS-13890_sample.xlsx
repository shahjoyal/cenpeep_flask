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yal.Shah\Downloads\"/>
    </mc:Choice>
  </mc:AlternateContent>
  <xr:revisionPtr revIDLastSave="0" documentId="13_ncr:1_{F3CCA10F-6F52-427B-8397-848CDBEE7C39}" xr6:coauthVersionLast="47" xr6:coauthVersionMax="47" xr10:uidLastSave="{00000000-0000-0000-0000-000000000000}"/>
  <bookViews>
    <workbookView xWindow="-108" yWindow="-108" windowWidth="23256" windowHeight="12456" xr2:uid="{86E5E7F8-3DF6-4275-8F9B-C9F83BE1FDA7}"/>
  </bookViews>
  <sheets>
    <sheet name="IS - 13980 orig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7" i="1" l="1"/>
  <c r="E17" i="1"/>
  <c r="E16" i="1"/>
  <c r="E15" i="1"/>
  <c r="E54" i="1"/>
  <c r="E46" i="1"/>
  <c r="E44" i="1"/>
  <c r="E40" i="1"/>
  <c r="E30" i="1"/>
  <c r="E39" i="1" s="1"/>
  <c r="E23" i="1"/>
  <c r="E18" i="1" l="1"/>
  <c r="E38" i="1"/>
  <c r="E37" i="1" s="1"/>
  <c r="E48" i="1"/>
  <c r="E45" i="1" s="1"/>
  <c r="E36" i="1" l="1"/>
  <c r="E42" i="1"/>
  <c r="E43" i="1" s="1"/>
  <c r="E50" i="1"/>
  <c r="E49" i="1"/>
  <c r="E51" i="1"/>
  <c r="E41" i="1"/>
  <c r="E55" i="1" l="1"/>
  <c r="E56" i="1" s="1"/>
  <c r="E58" i="1" s="1"/>
</calcChain>
</file>

<file path=xl/sharedStrings.xml><?xml version="1.0" encoding="utf-8"?>
<sst xmlns="http://schemas.openxmlformats.org/spreadsheetml/2006/main" count="191" uniqueCount="141">
  <si>
    <t>Bioler Efficiency Calculation By Heat Loss Method Unit (IS - 13980)</t>
  </si>
  <si>
    <t>DATE</t>
  </si>
  <si>
    <t>Calculation</t>
  </si>
  <si>
    <t xml:space="preserve"> </t>
  </si>
  <si>
    <t>Symbol</t>
  </si>
  <si>
    <t>Proximate Analysis - As fired</t>
  </si>
  <si>
    <t xml:space="preserve">Ash                   </t>
  </si>
  <si>
    <t>A</t>
  </si>
  <si>
    <t>%</t>
  </si>
  <si>
    <t>From Lab</t>
  </si>
  <si>
    <t xml:space="preserve">Volatile matter        </t>
  </si>
  <si>
    <t>VM</t>
  </si>
  <si>
    <t xml:space="preserve">Moisture                                   </t>
  </si>
  <si>
    <t>M</t>
  </si>
  <si>
    <t xml:space="preserve">Fixed Carbon </t>
  </si>
  <si>
    <t>FC</t>
  </si>
  <si>
    <t>Sucrose</t>
  </si>
  <si>
    <t xml:space="preserve">Gross Calorific Value    </t>
  </si>
  <si>
    <t>GCV</t>
  </si>
  <si>
    <t>Ultimate Analysis - As fired</t>
  </si>
  <si>
    <t xml:space="preserve">Sulphur  </t>
  </si>
  <si>
    <t>S</t>
  </si>
  <si>
    <t>0 Value</t>
  </si>
  <si>
    <t xml:space="preserve">Carbon                                                                     </t>
  </si>
  <si>
    <t>C</t>
  </si>
  <si>
    <t>(fixed Carbon (From Lab)) + 0.9 * (Volatile Matter(From Lab) - 14)</t>
  </si>
  <si>
    <t xml:space="preserve">Hydrogen                                                                                       </t>
  </si>
  <si>
    <t>H</t>
  </si>
  <si>
    <t>(Volatile Matter (From Lab)) * (7.35/((Volatile Matter (From Lab)+10) - 0.013)</t>
  </si>
  <si>
    <t xml:space="preserve">Nitrogen                                                                                               </t>
  </si>
  <si>
    <t>N</t>
  </si>
  <si>
    <t>(2.1 - (0.012*(Volatile Matter (From Lab)))</t>
  </si>
  <si>
    <t xml:space="preserve">Oxygen                                                                             </t>
  </si>
  <si>
    <t>O</t>
  </si>
  <si>
    <t>100-Carbon-Hydrogen-Nitrogen-Sulphur-Ash From Lab - Moisture From Lab</t>
  </si>
  <si>
    <t xml:space="preserve">Boiler Parameters                 </t>
  </si>
  <si>
    <t xml:space="preserve">Avg Flue Gas O/L Temp </t>
  </si>
  <si>
    <t>T</t>
  </si>
  <si>
    <r>
      <t>O</t>
    </r>
    <r>
      <rPr>
        <b/>
        <sz val="10"/>
        <rFont val="Verdana"/>
        <family val="2"/>
      </rPr>
      <t>C</t>
    </r>
  </si>
  <si>
    <t xml:space="preserve">Boiler Air Pre Heater out let Temp </t>
  </si>
  <si>
    <t>Ambient Temp (Dry bulb)</t>
  </si>
  <si>
    <r>
      <t>O</t>
    </r>
    <r>
      <rPr>
        <sz val="10"/>
        <rFont val="Verdana"/>
        <family val="2"/>
      </rPr>
      <t>C</t>
    </r>
  </si>
  <si>
    <t>From Lab Ambient Temp (Dry bulb)</t>
  </si>
  <si>
    <t xml:space="preserve">Ambient Temp (Wet Bulb)               </t>
  </si>
  <si>
    <t xml:space="preserve">From LabAmbient Temp (Wet Bulb) </t>
  </si>
  <si>
    <t xml:space="preserve">Ambient Temp (Dry bulb + Wet bulb)/2   </t>
  </si>
  <si>
    <t>t</t>
  </si>
  <si>
    <t>From Lab Ambient Temp (Dry bulb) + From LabAmbient Temp (Wet Bulb) /2</t>
  </si>
  <si>
    <r>
      <t>O</t>
    </r>
    <r>
      <rPr>
        <b/>
        <vertAlign val="subscript"/>
        <sz val="10"/>
        <rFont val="Verdana"/>
        <family val="2"/>
      </rPr>
      <t>2</t>
    </r>
    <r>
      <rPr>
        <b/>
        <sz val="10"/>
        <rFont val="Verdana"/>
        <family val="2"/>
      </rPr>
      <t xml:space="preserve"> at APH  Inlet                        </t>
    </r>
  </si>
  <si>
    <r>
      <t>O</t>
    </r>
    <r>
      <rPr>
        <b/>
        <vertAlign val="subscript"/>
        <sz val="10"/>
        <rFont val="Verdana"/>
        <family val="2"/>
      </rPr>
      <t>2</t>
    </r>
  </si>
  <si>
    <r>
      <t>Boiler Air Pre Heater In let O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</si>
  <si>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r>
      <t>CO</t>
    </r>
    <r>
      <rPr>
        <vertAlign val="subscript"/>
        <sz val="10"/>
        <rFont val="Verdana"/>
        <family val="2"/>
      </rPr>
      <t>2</t>
    </r>
    <r>
      <rPr>
        <sz val="10"/>
        <rFont val="Verdana"/>
        <family val="2"/>
      </rPr>
      <t xml:space="preserve"> at APH inlet                </t>
    </r>
  </si>
  <si>
    <r>
      <t>CO</t>
    </r>
    <r>
      <rPr>
        <vertAlign val="subscript"/>
        <sz val="10"/>
        <rFont val="Verdana"/>
        <family val="2"/>
      </rPr>
      <t>2</t>
    </r>
  </si>
  <si>
    <r>
      <t>Boiler Air Pre Heater In let CO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</si>
  <si>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t xml:space="preserve">CO at APH inlet                </t>
  </si>
  <si>
    <t>CO</t>
  </si>
  <si>
    <t xml:space="preserve">Boiler Air Pre Heater In let CO % </t>
  </si>
  <si>
    <r>
      <t>N</t>
    </r>
    <r>
      <rPr>
        <vertAlign val="subscript"/>
        <sz val="10"/>
        <rFont val="Verdana"/>
        <family val="2"/>
      </rPr>
      <t>2</t>
    </r>
    <r>
      <rPr>
        <sz val="10"/>
        <rFont val="Verdana"/>
        <family val="2"/>
      </rPr>
      <t xml:space="preserve"> at APH inlet               </t>
    </r>
  </si>
  <si>
    <r>
      <t>N</t>
    </r>
    <r>
      <rPr>
        <vertAlign val="subscript"/>
        <sz val="10"/>
        <rFont val="Verdana"/>
        <family val="2"/>
      </rPr>
      <t>2</t>
    </r>
  </si>
  <si>
    <r>
      <t>Boiler Air Pre Heater In let N</t>
    </r>
    <r>
      <rPr>
        <b/>
        <vertAlign val="subscript"/>
        <sz val="11"/>
        <color indexed="56"/>
        <rFont val="Verdana"/>
        <family val="2"/>
      </rPr>
      <t>2</t>
    </r>
    <r>
      <rPr>
        <b/>
        <sz val="11"/>
        <color indexed="56"/>
        <rFont val="Verdana"/>
        <family val="2"/>
      </rPr>
      <t xml:space="preserve"> % </t>
    </r>
  </si>
  <si>
    <t>Boiler Load</t>
  </si>
  <si>
    <t>kg/h</t>
  </si>
  <si>
    <t>Boiler Load kg/h (Fix)</t>
  </si>
  <si>
    <t>Evaporation Ratio</t>
  </si>
  <si>
    <t>Evaporation Ratio (Fix)</t>
  </si>
  <si>
    <t>Bagasse Consumption</t>
  </si>
  <si>
    <t>(Boiler Load kg/h (Fix)) / (Evaporation Ratio (Fix))</t>
  </si>
  <si>
    <t>Quantity of atomizing steam</t>
  </si>
  <si>
    <t>LOI</t>
  </si>
  <si>
    <t xml:space="preserve">Unburnts in bottom ash </t>
  </si>
  <si>
    <t>UBA</t>
  </si>
  <si>
    <t xml:space="preserve">Unburnts in Fly ash </t>
  </si>
  <si>
    <t>UFA</t>
  </si>
  <si>
    <t xml:space="preserve"> Efficiency Tabulation (Heat Loss Method )                           </t>
  </si>
  <si>
    <t xml:space="preserve">Loss due to Unburned carbon                                                                  </t>
  </si>
  <si>
    <t>Luc</t>
  </si>
  <si>
    <t>kcal/kg</t>
  </si>
  <si>
    <t>kg of total dry refuse per kg of AF fuel * HHV of total dry refuse</t>
  </si>
  <si>
    <t>kg of total dry refuse per kg of AF fuel</t>
  </si>
  <si>
    <t>Wd'p'</t>
  </si>
  <si>
    <t>kg/kg</t>
  </si>
  <si>
    <t>Weight of dry refuse collected / Measured fuel rate</t>
  </si>
  <si>
    <t>Weight of dry refuse collected</t>
  </si>
  <si>
    <t>Wd'p'e</t>
  </si>
  <si>
    <t>Bagasse Consumption * ASH From Lab / 100</t>
  </si>
  <si>
    <t>Measured fuel rate</t>
  </si>
  <si>
    <t>Wfe</t>
  </si>
  <si>
    <t>HHV of total dry refuse</t>
  </si>
  <si>
    <t>Hd'p'</t>
  </si>
  <si>
    <t>(70/100 * ASH From Lab / 100 * Unburnts in Fly ash / 100 * 8078) + (ASH From Lab / 100 * 30 / 100 * Unburnts in bottom ash / 100 * 8078)</t>
  </si>
  <si>
    <t>Loss due to Dry flue gas</t>
  </si>
  <si>
    <t>Lg</t>
  </si>
  <si>
    <t>Weight of dry gas leaving unit per kg of AF fuel * Mean Sp. Heat of dyr Flue Gas * (Avg Flue Gas O/L Temp - Ambient Temp (Dry bulb + Wet bulb)/2)</t>
  </si>
  <si>
    <t>kg of carbon burnt per kg of AF fuel</t>
  </si>
  <si>
    <t>Cb</t>
  </si>
  <si>
    <t>Carbon / 100 - (kg of total dry refuse per kg of AF fuel * HHV of total dry refuse / 8078)</t>
  </si>
  <si>
    <t>Weight of dry gas leaving unit per kg of AF fuel</t>
  </si>
  <si>
    <t>WG'</t>
  </si>
  <si>
    <t>((44.01* CO2 at APH inlet + 32 * O2 at APH  Inlet + 28.02 * N2 at APH inlet +28.01 * CO at APH inlet ) / (12.01 * (CO2 at APH inlet + CO at APH inlet))) * (kg of carbon burnt per kg of AF fuel + Sulphur / 267)</t>
  </si>
  <si>
    <t>Mean Sp. Heat of dyr Flue Gas</t>
  </si>
  <si>
    <t>CpG'</t>
  </si>
  <si>
    <r>
      <t>kcal/kg</t>
    </r>
    <r>
      <rPr>
        <vertAlign val="superscript"/>
        <sz val="10"/>
        <rFont val="Verdana"/>
        <family val="2"/>
      </rPr>
      <t>0</t>
    </r>
    <r>
      <rPr>
        <sz val="10"/>
        <rFont val="Verdana"/>
        <family val="2"/>
      </rPr>
      <t>C</t>
    </r>
  </si>
  <si>
    <t>1.01/4.186</t>
  </si>
  <si>
    <t>Loss due to moisture in fuel</t>
  </si>
  <si>
    <t>Lmf</t>
  </si>
  <si>
    <t>kg of moisture/kg of AF fuel * (Vapour Enthalpy at 0.07kgf/cm2 at APH o/l  - Enthalpy of saturated liquid at t)</t>
  </si>
  <si>
    <t>kg of moisture/kg of AF fuel</t>
  </si>
  <si>
    <t>mf</t>
  </si>
  <si>
    <t xml:space="preserve"> Moisture From Lab/100</t>
  </si>
  <si>
    <t xml:space="preserve">Vapour Enthalpy at 0.07kgf/cm2 at APH o/l </t>
  </si>
  <si>
    <t>Enthalpy of saturated liquid at t</t>
  </si>
  <si>
    <t>Loss due to moisture in Hydrogen</t>
  </si>
  <si>
    <t>Lh</t>
  </si>
  <si>
    <t>8.936 * Hydrogen / 100 * (Vapour Enthalpy at 0.07kgf/cm2 at APH o/l  - Enthalpy of  saturated liquid at t)</t>
  </si>
  <si>
    <t>Loss due to atomizing steam</t>
  </si>
  <si>
    <t>Lz</t>
  </si>
  <si>
    <t>Quantity of atomizing steam * (Vapour Enthalpy at 0.07kgf/cm2 at APH o/l  - Enthalpy of saturated liquid at t ) / Bagasse Consumption</t>
  </si>
  <si>
    <t>Loss due to formation of CO</t>
  </si>
  <si>
    <t>Lco</t>
  </si>
  <si>
    <t>(CO at APH inlet / (CO2 at APH inlet + CO at APH inlet ) * 5644 * kg of carbon burnt per kg of AF fuel)</t>
  </si>
  <si>
    <t>Loss due to unburned hydrogen</t>
  </si>
  <si>
    <t>Luh</t>
  </si>
  <si>
    <t>Loss due to Unburned Hydrocarbons</t>
  </si>
  <si>
    <t>Luhc</t>
  </si>
  <si>
    <t>Loss due to radiation &amp; convection</t>
  </si>
  <si>
    <r>
      <t>L</t>
    </r>
    <r>
      <rPr>
        <b/>
        <sz val="10"/>
        <rFont val="Arial"/>
        <family val="2"/>
      </rPr>
      <t>β</t>
    </r>
  </si>
  <si>
    <t>1.5 * Gross Calorific Value / 100</t>
  </si>
  <si>
    <t xml:space="preserve">Total Loss kcal/kg          </t>
  </si>
  <si>
    <t xml:space="preserve">Loss due to Unburned carbon + Loss due to Dry flue gas + Loss due to moisture in fuel + Loss due to moisture in Hydrogen + Loss due to atomizing steam + Loss due to formation of CO + Loss due to unburned hydrogen + Loss due to Unburned Hydrocarbons </t>
  </si>
  <si>
    <t xml:space="preserve">Total Loss %          </t>
  </si>
  <si>
    <t>Total Loss kcal/kg / Gross Calorific Value *100</t>
  </si>
  <si>
    <t xml:space="preserve">Boiler Efficiency                </t>
  </si>
  <si>
    <r>
      <t>η</t>
    </r>
    <r>
      <rPr>
        <b/>
        <vertAlign val="subscript"/>
        <sz val="12"/>
        <rFont val="Verdana"/>
        <family val="2"/>
      </rPr>
      <t>boiler</t>
    </r>
  </si>
  <si>
    <t>100 - Total Loss %</t>
  </si>
  <si>
    <r>
      <t>W</t>
    </r>
    <r>
      <rPr>
        <vertAlign val="subscript"/>
        <sz val="10"/>
        <rFont val="Verdana"/>
        <family val="2"/>
      </rPr>
      <t>ze</t>
    </r>
  </si>
  <si>
    <r>
      <t>W</t>
    </r>
    <r>
      <rPr>
        <vertAlign val="subscript"/>
        <sz val="10"/>
        <rFont val="Verdana"/>
        <family val="2"/>
      </rPr>
      <t>fe</t>
    </r>
  </si>
  <si>
    <r>
      <t>H</t>
    </r>
    <r>
      <rPr>
        <vertAlign val="subscript"/>
        <sz val="10"/>
        <rFont val="Verdana"/>
        <family val="2"/>
      </rPr>
      <t>Rw</t>
    </r>
  </si>
  <si>
    <t>(2501+(1.88*Temp at APH O/L))/ 4.186</t>
  </si>
  <si>
    <t>Lab value</t>
  </si>
  <si>
    <t>Inputs</t>
  </si>
  <si>
    <t>Output to be calculated based on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</si>
</sst>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0.0"/>
    <numFmt numFmtId="166" formatCode="0.0000"/>
    <numFmt numFmtId="167" formatCode="0.000000"/>
    <numFmt numFmtId="168" formatCode="0.000"/>
  </numFmts>
  <fonts count="22" x14ac:knownFonts="1">
    <font>
      <sz val="10"/>
      <name val="Arial"/>
    </font>
    <font>
      <b/>
      <i/>
      <sz val="12"/>
      <color indexed="12"/>
      <name val="Verdana"/>
      <family val="2"/>
    </font>
    <font>
      <b/>
      <i/>
      <sz val="11"/>
      <color rgb="FF002060"/>
      <name val="Verdana"/>
      <family val="2"/>
    </font>
    <font>
      <sz val="10"/>
      <name val="Verdana"/>
      <family val="2"/>
    </font>
    <font>
      <sz val="10"/>
      <color indexed="12"/>
      <name val="Verdana"/>
      <family val="2"/>
    </font>
    <font>
      <b/>
      <sz val="12"/>
      <name val="Verdana"/>
      <family val="2"/>
    </font>
    <font>
      <b/>
      <sz val="11"/>
      <color rgb="FF002060"/>
      <name val="Verdana"/>
      <family val="2"/>
    </font>
    <font>
      <b/>
      <sz val="10"/>
      <name val="Verdana"/>
      <family val="2"/>
    </font>
    <font>
      <b/>
      <sz val="12"/>
      <color rgb="FFFF0000"/>
      <name val="Verdana"/>
      <family val="2"/>
    </font>
    <font>
      <b/>
      <sz val="10"/>
      <color indexed="12"/>
      <name val="Verdana"/>
      <family val="2"/>
    </font>
    <font>
      <b/>
      <vertAlign val="superscript"/>
      <sz val="10"/>
      <name val="Verdana"/>
      <family val="2"/>
    </font>
    <font>
      <b/>
      <sz val="10"/>
      <color rgb="FF0000FF"/>
      <name val="Verdana"/>
      <family val="2"/>
    </font>
    <font>
      <vertAlign val="superscript"/>
      <sz val="10"/>
      <name val="Verdana"/>
      <family val="2"/>
    </font>
    <font>
      <b/>
      <vertAlign val="subscript"/>
      <sz val="10"/>
      <name val="Verdana"/>
      <family val="2"/>
    </font>
    <font>
      <b/>
      <vertAlign val="subscript"/>
      <sz val="11"/>
      <color indexed="56"/>
      <name val="Verdana"/>
      <family val="2"/>
    </font>
    <font>
      <b/>
      <sz val="11"/>
      <color indexed="56"/>
      <name val="Verdana"/>
      <family val="2"/>
    </font>
    <font>
      <vertAlign val="subscript"/>
      <sz val="10"/>
      <name val="Verdana"/>
      <family val="2"/>
    </font>
    <font>
      <b/>
      <sz val="10"/>
      <name val="Arial"/>
      <family val="2"/>
    </font>
    <font>
      <b/>
      <vertAlign val="subscript"/>
      <sz val="12"/>
      <name val="Verdana"/>
      <family val="2"/>
    </font>
    <font>
      <b/>
      <sz val="12"/>
      <color rgb="FF0000FF"/>
      <name val="Verdana"/>
      <family val="2"/>
    </font>
    <font>
      <b/>
      <sz val="12"/>
      <color indexed="12"/>
      <name val="Verdana"/>
      <family val="2"/>
    </font>
    <font>
      <b/>
      <sz val="14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49" fontId="7" fillId="0" borderId="3" xfId="0" applyNumberFormat="1" applyFont="1" applyBorder="1" applyAlignment="1">
      <alignment horizontal="center"/>
    </xf>
    <xf numFmtId="165" fontId="3" fillId="0" borderId="3" xfId="0" applyNumberFormat="1" applyFont="1" applyBorder="1" applyAlignment="1">
      <alignment horizontal="center"/>
    </xf>
    <xf numFmtId="49" fontId="3" fillId="0" borderId="3" xfId="0" applyNumberFormat="1" applyFont="1" applyBorder="1" applyAlignment="1">
      <alignment horizontal="center"/>
    </xf>
    <xf numFmtId="2" fontId="3" fillId="0" borderId="3" xfId="0" applyNumberFormat="1" applyFont="1" applyBorder="1" applyAlignment="1">
      <alignment horizontal="center"/>
    </xf>
    <xf numFmtId="2" fontId="3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3" fillId="0" borderId="3" xfId="0" applyFont="1" applyBorder="1" applyAlignment="1">
      <alignment horizontal="center"/>
    </xf>
    <xf numFmtId="2" fontId="7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/>
    </xf>
    <xf numFmtId="165" fontId="7" fillId="0" borderId="0" xfId="0" applyNumberFormat="1" applyFont="1" applyAlignment="1">
      <alignment horizontal="center"/>
    </xf>
    <xf numFmtId="49" fontId="12" fillId="0" borderId="3" xfId="0" applyNumberFormat="1" applyFont="1" applyBorder="1" applyAlignment="1">
      <alignment horizontal="center"/>
    </xf>
    <xf numFmtId="0" fontId="9" fillId="0" borderId="0" xfId="0" applyFont="1"/>
    <xf numFmtId="167" fontId="3" fillId="0" borderId="0" xfId="0" applyNumberFormat="1" applyFont="1" applyAlignment="1">
      <alignment horizontal="center"/>
    </xf>
    <xf numFmtId="0" fontId="7" fillId="0" borderId="0" xfId="0" applyFont="1"/>
    <xf numFmtId="2" fontId="7" fillId="0" borderId="0" xfId="0" applyNumberFormat="1" applyFont="1" applyAlignment="1">
      <alignment horizontal="center" vertical="center"/>
    </xf>
    <xf numFmtId="0" fontId="3" fillId="0" borderId="3" xfId="0" applyFont="1" applyBorder="1"/>
    <xf numFmtId="49" fontId="7" fillId="0" borderId="3" xfId="0" applyNumberFormat="1" applyFont="1" applyBorder="1" applyAlignment="1">
      <alignment horizontal="center" vertical="top" wrapText="1"/>
    </xf>
    <xf numFmtId="168" fontId="7" fillId="0" borderId="0" xfId="0" applyNumberFormat="1" applyFont="1" applyAlignment="1">
      <alignment horizontal="center"/>
    </xf>
    <xf numFmtId="49" fontId="3" fillId="0" borderId="3" xfId="0" applyNumberFormat="1" applyFont="1" applyBorder="1" applyAlignment="1">
      <alignment horizontal="center" vertical="top" wrapText="1"/>
    </xf>
    <xf numFmtId="166" fontId="3" fillId="0" borderId="0" xfId="0" applyNumberFormat="1" applyFont="1" applyAlignment="1">
      <alignment horizontal="center"/>
    </xf>
    <xf numFmtId="168" fontId="3" fillId="0" borderId="0" xfId="0" applyNumberFormat="1" applyFont="1" applyAlignment="1">
      <alignment horizontal="center"/>
    </xf>
    <xf numFmtId="49" fontId="5" fillId="0" borderId="6" xfId="0" applyNumberFormat="1" applyFont="1" applyBorder="1" applyAlignment="1">
      <alignment horizontal="center"/>
    </xf>
    <xf numFmtId="2" fontId="5" fillId="0" borderId="0" xfId="0" applyNumberFormat="1" applyFont="1" applyAlignment="1">
      <alignment horizontal="center"/>
    </xf>
    <xf numFmtId="2" fontId="20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 textRotation="90" wrapText="1"/>
    </xf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21" fillId="0" borderId="0" xfId="0" applyFont="1" applyAlignment="1">
      <alignment horizontal="left"/>
    </xf>
    <xf numFmtId="49" fontId="7" fillId="0" borderId="10" xfId="0" applyNumberFormat="1" applyFont="1" applyBorder="1" applyAlignment="1">
      <alignment horizontal="left"/>
    </xf>
    <xf numFmtId="49" fontId="7" fillId="0" borderId="11" xfId="0" applyNumberFormat="1" applyFont="1" applyBorder="1" applyAlignment="1">
      <alignment horizontal="center"/>
    </xf>
    <xf numFmtId="0" fontId="7" fillId="0" borderId="12" xfId="0" applyFont="1" applyBorder="1" applyAlignment="1">
      <alignment horizontal="center" vertical="center" textRotation="90" wrapText="1"/>
    </xf>
    <xf numFmtId="164" fontId="8" fillId="0" borderId="2" xfId="0" applyNumberFormat="1" applyFont="1" applyBorder="1" applyAlignment="1">
      <alignment horizontal="center"/>
    </xf>
    <xf numFmtId="164" fontId="6" fillId="0" borderId="7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49" fontId="3" fillId="0" borderId="4" xfId="0" applyNumberFormat="1" applyFont="1" applyBorder="1" applyAlignment="1">
      <alignment horizontal="left"/>
    </xf>
    <xf numFmtId="2" fontId="6" fillId="0" borderId="8" xfId="0" applyNumberFormat="1" applyFont="1" applyBorder="1" applyAlignment="1">
      <alignment horizontal="center"/>
    </xf>
    <xf numFmtId="49" fontId="3" fillId="0" borderId="4" xfId="0" applyNumberFormat="1" applyFont="1" applyBorder="1" applyAlignment="1">
      <alignment horizontal="left" vertical="center" wrapText="1"/>
    </xf>
    <xf numFmtId="165" fontId="6" fillId="0" borderId="8" xfId="0" applyNumberFormat="1" applyFont="1" applyBorder="1" applyAlignment="1">
      <alignment horizontal="center"/>
    </xf>
    <xf numFmtId="49" fontId="7" fillId="0" borderId="4" xfId="0" applyNumberFormat="1" applyFont="1" applyBorder="1" applyAlignment="1">
      <alignment horizontal="left" vertical="center" wrapText="1"/>
    </xf>
    <xf numFmtId="0" fontId="3" fillId="0" borderId="4" xfId="0" applyFont="1" applyBorder="1"/>
    <xf numFmtId="49" fontId="7" fillId="0" borderId="4" xfId="0" applyNumberFormat="1" applyFont="1" applyBorder="1" applyAlignment="1">
      <alignment horizontal="left" vertical="top" wrapText="1"/>
    </xf>
    <xf numFmtId="49" fontId="3" fillId="0" borderId="4" xfId="0" applyNumberFormat="1" applyFont="1" applyBorder="1" applyAlignment="1">
      <alignment horizontal="left" vertical="top" wrapText="1"/>
    </xf>
    <xf numFmtId="49" fontId="5" fillId="0" borderId="5" xfId="0" applyNumberFormat="1" applyFont="1" applyBorder="1" applyAlignment="1">
      <alignment horizontal="left"/>
    </xf>
    <xf numFmtId="165" fontId="11" fillId="2" borderId="3" xfId="0" applyNumberFormat="1" applyFont="1" applyFill="1" applyBorder="1" applyAlignment="1">
      <alignment horizontal="center"/>
    </xf>
    <xf numFmtId="165" fontId="3" fillId="2" borderId="3" xfId="0" applyNumberFormat="1" applyFont="1" applyFill="1" applyBorder="1" applyAlignment="1">
      <alignment horizontal="center"/>
    </xf>
    <xf numFmtId="2" fontId="3" fillId="2" borderId="3" xfId="0" applyNumberFormat="1" applyFont="1" applyFill="1" applyBorder="1" applyAlignment="1">
      <alignment horizontal="center"/>
    </xf>
    <xf numFmtId="166" fontId="11" fillId="2" borderId="3" xfId="0" applyNumberFormat="1" applyFont="1" applyFill="1" applyBorder="1" applyAlignment="1">
      <alignment horizontal="center"/>
    </xf>
    <xf numFmtId="165" fontId="6" fillId="2" borderId="8" xfId="0" applyNumberFormat="1" applyFont="1" applyFill="1" applyBorder="1" applyAlignment="1">
      <alignment horizontal="center"/>
    </xf>
    <xf numFmtId="2" fontId="6" fillId="2" borderId="8" xfId="0" applyNumberFormat="1" applyFont="1" applyFill="1" applyBorder="1" applyAlignment="1">
      <alignment horizontal="center"/>
    </xf>
    <xf numFmtId="167" fontId="6" fillId="2" borderId="8" xfId="0" applyNumberFormat="1" applyFont="1" applyFill="1" applyBorder="1" applyAlignment="1">
      <alignment horizontal="center"/>
    </xf>
    <xf numFmtId="2" fontId="11" fillId="2" borderId="3" xfId="0" applyNumberFormat="1" applyFont="1" applyFill="1" applyBorder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68" fontId="7" fillId="3" borderId="3" xfId="0" applyNumberFormat="1" applyFont="1" applyFill="1" applyBorder="1" applyAlignment="1">
      <alignment horizontal="center"/>
    </xf>
    <xf numFmtId="168" fontId="6" fillId="3" borderId="8" xfId="0" applyNumberFormat="1" applyFont="1" applyFill="1" applyBorder="1" applyAlignment="1">
      <alignment horizontal="center"/>
    </xf>
    <xf numFmtId="166" fontId="3" fillId="3" borderId="3" xfId="0" applyNumberFormat="1" applyFont="1" applyFill="1" applyBorder="1" applyAlignment="1">
      <alignment horizontal="center"/>
    </xf>
    <xf numFmtId="166" fontId="6" fillId="3" borderId="8" xfId="0" applyNumberFormat="1" applyFont="1" applyFill="1" applyBorder="1" applyAlignment="1">
      <alignment horizontal="center"/>
    </xf>
    <xf numFmtId="1" fontId="3" fillId="3" borderId="3" xfId="0" applyNumberFormat="1" applyFont="1" applyFill="1" applyBorder="1" applyAlignment="1">
      <alignment horizontal="center"/>
    </xf>
    <xf numFmtId="1" fontId="6" fillId="3" borderId="8" xfId="0" applyNumberFormat="1" applyFont="1" applyFill="1" applyBorder="1" applyAlignment="1">
      <alignment horizontal="center"/>
    </xf>
    <xf numFmtId="165" fontId="3" fillId="3" borderId="3" xfId="0" applyNumberFormat="1" applyFont="1" applyFill="1" applyBorder="1" applyAlignment="1">
      <alignment horizontal="center"/>
    </xf>
    <xf numFmtId="165" fontId="6" fillId="3" borderId="8" xfId="0" applyNumberFormat="1" applyFont="1" applyFill="1" applyBorder="1" applyAlignment="1">
      <alignment horizontal="center" wrapText="1"/>
    </xf>
    <xf numFmtId="168" fontId="6" fillId="3" borderId="8" xfId="0" applyNumberFormat="1" applyFont="1" applyFill="1" applyBorder="1" applyAlignment="1">
      <alignment horizontal="center" wrapText="1"/>
    </xf>
    <xf numFmtId="168" fontId="3" fillId="3" borderId="3" xfId="0" applyNumberFormat="1" applyFont="1" applyFill="1" applyBorder="1" applyAlignment="1">
      <alignment horizontal="center"/>
    </xf>
    <xf numFmtId="165" fontId="6" fillId="3" borderId="8" xfId="0" applyNumberFormat="1" applyFont="1" applyFill="1" applyBorder="1" applyAlignment="1">
      <alignment horizontal="center"/>
    </xf>
    <xf numFmtId="2" fontId="7" fillId="3" borderId="3" xfId="0" applyNumberFormat="1" applyFont="1" applyFill="1" applyBorder="1" applyAlignment="1">
      <alignment horizontal="center"/>
    </xf>
    <xf numFmtId="2" fontId="6" fillId="3" borderId="8" xfId="0" applyNumberFormat="1" applyFont="1" applyFill="1" applyBorder="1" applyAlignment="1">
      <alignment horizontal="center"/>
    </xf>
    <xf numFmtId="2" fontId="3" fillId="3" borderId="3" xfId="0" applyNumberFormat="1" applyFont="1" applyFill="1" applyBorder="1" applyAlignment="1">
      <alignment horizontal="center"/>
    </xf>
    <xf numFmtId="2" fontId="19" fillId="3" borderId="6" xfId="0" applyNumberFormat="1" applyFont="1" applyFill="1" applyBorder="1" applyAlignment="1">
      <alignment horizontal="center"/>
    </xf>
    <xf numFmtId="2" fontId="6" fillId="3" borderId="9" xfId="0" applyNumberFormat="1" applyFont="1" applyFill="1" applyBorder="1" applyAlignment="1">
      <alignment horizontal="center"/>
    </xf>
    <xf numFmtId="0" fontId="1" fillId="2" borderId="3" xfId="0" applyFont="1" applyFill="1" applyBorder="1"/>
    <xf numFmtId="0" fontId="2" fillId="0" borderId="3" xfId="0" applyFont="1" applyBorder="1" applyAlignment="1">
      <alignment horizontal="center"/>
    </xf>
    <xf numFmtId="0" fontId="5" fillId="3" borderId="3" xfId="0" applyFont="1" applyFill="1" applyBorder="1"/>
    <xf numFmtId="0" fontId="6" fillId="0" borderId="3" xfId="0" applyFont="1" applyBorder="1" applyAlignment="1">
      <alignment horizontal="center"/>
    </xf>
    <xf numFmtId="49" fontId="7" fillId="0" borderId="11" xfId="0" applyNumberFormat="1" applyFont="1" applyBorder="1" applyAlignment="1">
      <alignment horizontal="center" vertical="center" textRotation="90" wrapText="1"/>
    </xf>
    <xf numFmtId="0" fontId="7" fillId="0" borderId="1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58</xdr:row>
      <xdr:rowOff>53340</xdr:rowOff>
    </xdr:from>
    <xdr:to>
      <xdr:col>4</xdr:col>
      <xdr:colOff>0</xdr:colOff>
      <xdr:row>58</xdr:row>
      <xdr:rowOff>137160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59A17E3-4478-420F-A2FF-3D19662F9EC1}"/>
            </a:ext>
          </a:extLst>
        </xdr:cNvPr>
        <xdr:cNvSpPr>
          <a:spLocks noChangeArrowheads="1"/>
        </xdr:cNvSpPr>
      </xdr:nvSpPr>
      <xdr:spPr bwMode="auto">
        <a:xfrm>
          <a:off x="4922520" y="13929360"/>
          <a:ext cx="0" cy="83820"/>
        </a:xfrm>
        <a:prstGeom prst="triangle">
          <a:avLst>
            <a:gd name="adj" fmla="val 50000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1C54-FD04-4CCD-897C-2D035AF41305}">
  <sheetPr>
    <tabColor rgb="FFFFC000"/>
  </sheetPr>
  <dimension ref="A2:L65"/>
  <sheetViews>
    <sheetView tabSelected="1" topLeftCell="A38" zoomScale="70" zoomScaleNormal="70" workbookViewId="0">
      <selection activeCell="E60" sqref="E60"/>
    </sheetView>
  </sheetViews>
  <sheetFormatPr defaultColWidth="9.109375" defaultRowHeight="13.8" x14ac:dyDescent="0.25"/>
  <cols>
    <col min="1" max="1" width="9.6640625" style="2" customWidth="1"/>
    <col min="2" max="2" width="49.88671875" style="4" customWidth="1"/>
    <col min="3" max="3" width="14" style="2" customWidth="1"/>
    <col min="4" max="4" width="10.109375" style="2" bestFit="1" customWidth="1"/>
    <col min="5" max="5" width="12" style="7" bestFit="1" customWidth="1"/>
    <col min="6" max="6" width="105.88671875" style="6" customWidth="1"/>
    <col min="7" max="7" width="12.109375" style="7" bestFit="1" customWidth="1"/>
    <col min="8" max="8" width="10.6640625" style="7" customWidth="1"/>
    <col min="9" max="9" width="10.88671875" style="2" bestFit="1" customWidth="1"/>
    <col min="10" max="10" width="9.88671875" style="2" bestFit="1" customWidth="1"/>
    <col min="11" max="11" width="11" style="2" bestFit="1" customWidth="1"/>
    <col min="12" max="12" width="11" style="3" bestFit="1" customWidth="1"/>
    <col min="13" max="256" width="9.109375" style="2"/>
    <col min="257" max="257" width="9.6640625" style="2" customWidth="1"/>
    <col min="258" max="258" width="42.109375" style="2" customWidth="1"/>
    <col min="259" max="260" width="10" style="2" bestFit="1" customWidth="1"/>
    <col min="261" max="261" width="12.88671875" style="2" customWidth="1"/>
    <col min="262" max="262" width="105.88671875" style="2" customWidth="1"/>
    <col min="263" max="263" width="12.109375" style="2" bestFit="1" customWidth="1"/>
    <col min="264" max="264" width="10.6640625" style="2" customWidth="1"/>
    <col min="265" max="265" width="10.88671875" style="2" bestFit="1" customWidth="1"/>
    <col min="266" max="266" width="9.88671875" style="2" bestFit="1" customWidth="1"/>
    <col min="267" max="268" width="11" style="2" bestFit="1" customWidth="1"/>
    <col min="269" max="512" width="9.109375" style="2"/>
    <col min="513" max="513" width="9.6640625" style="2" customWidth="1"/>
    <col min="514" max="514" width="42.109375" style="2" customWidth="1"/>
    <col min="515" max="516" width="10" style="2" bestFit="1" customWidth="1"/>
    <col min="517" max="517" width="12.88671875" style="2" customWidth="1"/>
    <col min="518" max="518" width="105.88671875" style="2" customWidth="1"/>
    <col min="519" max="519" width="12.109375" style="2" bestFit="1" customWidth="1"/>
    <col min="520" max="520" width="10.6640625" style="2" customWidth="1"/>
    <col min="521" max="521" width="10.88671875" style="2" bestFit="1" customWidth="1"/>
    <col min="522" max="522" width="9.88671875" style="2" bestFit="1" customWidth="1"/>
    <col min="523" max="524" width="11" style="2" bestFit="1" customWidth="1"/>
    <col min="525" max="768" width="9.109375" style="2"/>
    <col min="769" max="769" width="9.6640625" style="2" customWidth="1"/>
    <col min="770" max="770" width="42.109375" style="2" customWidth="1"/>
    <col min="771" max="772" width="10" style="2" bestFit="1" customWidth="1"/>
    <col min="773" max="773" width="12.88671875" style="2" customWidth="1"/>
    <col min="774" max="774" width="105.88671875" style="2" customWidth="1"/>
    <col min="775" max="775" width="12.109375" style="2" bestFit="1" customWidth="1"/>
    <col min="776" max="776" width="10.6640625" style="2" customWidth="1"/>
    <col min="777" max="777" width="10.88671875" style="2" bestFit="1" customWidth="1"/>
    <col min="778" max="778" width="9.88671875" style="2" bestFit="1" customWidth="1"/>
    <col min="779" max="780" width="11" style="2" bestFit="1" customWidth="1"/>
    <col min="781" max="1024" width="9.109375" style="2"/>
    <col min="1025" max="1025" width="9.6640625" style="2" customWidth="1"/>
    <col min="1026" max="1026" width="42.109375" style="2" customWidth="1"/>
    <col min="1027" max="1028" width="10" style="2" bestFit="1" customWidth="1"/>
    <col min="1029" max="1029" width="12.88671875" style="2" customWidth="1"/>
    <col min="1030" max="1030" width="105.88671875" style="2" customWidth="1"/>
    <col min="1031" max="1031" width="12.109375" style="2" bestFit="1" customWidth="1"/>
    <col min="1032" max="1032" width="10.6640625" style="2" customWidth="1"/>
    <col min="1033" max="1033" width="10.88671875" style="2" bestFit="1" customWidth="1"/>
    <col min="1034" max="1034" width="9.88671875" style="2" bestFit="1" customWidth="1"/>
    <col min="1035" max="1036" width="11" style="2" bestFit="1" customWidth="1"/>
    <col min="1037" max="1280" width="9.109375" style="2"/>
    <col min="1281" max="1281" width="9.6640625" style="2" customWidth="1"/>
    <col min="1282" max="1282" width="42.109375" style="2" customWidth="1"/>
    <col min="1283" max="1284" width="10" style="2" bestFit="1" customWidth="1"/>
    <col min="1285" max="1285" width="12.88671875" style="2" customWidth="1"/>
    <col min="1286" max="1286" width="105.88671875" style="2" customWidth="1"/>
    <col min="1287" max="1287" width="12.109375" style="2" bestFit="1" customWidth="1"/>
    <col min="1288" max="1288" width="10.6640625" style="2" customWidth="1"/>
    <col min="1289" max="1289" width="10.88671875" style="2" bestFit="1" customWidth="1"/>
    <col min="1290" max="1290" width="9.88671875" style="2" bestFit="1" customWidth="1"/>
    <col min="1291" max="1292" width="11" style="2" bestFit="1" customWidth="1"/>
    <col min="1293" max="1536" width="9.109375" style="2"/>
    <col min="1537" max="1537" width="9.6640625" style="2" customWidth="1"/>
    <col min="1538" max="1538" width="42.109375" style="2" customWidth="1"/>
    <col min="1539" max="1540" width="10" style="2" bestFit="1" customWidth="1"/>
    <col min="1541" max="1541" width="12.88671875" style="2" customWidth="1"/>
    <col min="1542" max="1542" width="105.88671875" style="2" customWidth="1"/>
    <col min="1543" max="1543" width="12.109375" style="2" bestFit="1" customWidth="1"/>
    <col min="1544" max="1544" width="10.6640625" style="2" customWidth="1"/>
    <col min="1545" max="1545" width="10.88671875" style="2" bestFit="1" customWidth="1"/>
    <col min="1546" max="1546" width="9.88671875" style="2" bestFit="1" customWidth="1"/>
    <col min="1547" max="1548" width="11" style="2" bestFit="1" customWidth="1"/>
    <col min="1549" max="1792" width="9.109375" style="2"/>
    <col min="1793" max="1793" width="9.6640625" style="2" customWidth="1"/>
    <col min="1794" max="1794" width="42.109375" style="2" customWidth="1"/>
    <col min="1795" max="1796" width="10" style="2" bestFit="1" customWidth="1"/>
    <col min="1797" max="1797" width="12.88671875" style="2" customWidth="1"/>
    <col min="1798" max="1798" width="105.88671875" style="2" customWidth="1"/>
    <col min="1799" max="1799" width="12.109375" style="2" bestFit="1" customWidth="1"/>
    <col min="1800" max="1800" width="10.6640625" style="2" customWidth="1"/>
    <col min="1801" max="1801" width="10.88671875" style="2" bestFit="1" customWidth="1"/>
    <col min="1802" max="1802" width="9.88671875" style="2" bestFit="1" customWidth="1"/>
    <col min="1803" max="1804" width="11" style="2" bestFit="1" customWidth="1"/>
    <col min="1805" max="2048" width="9.109375" style="2"/>
    <col min="2049" max="2049" width="9.6640625" style="2" customWidth="1"/>
    <col min="2050" max="2050" width="42.109375" style="2" customWidth="1"/>
    <col min="2051" max="2052" width="10" style="2" bestFit="1" customWidth="1"/>
    <col min="2053" max="2053" width="12.88671875" style="2" customWidth="1"/>
    <col min="2054" max="2054" width="105.88671875" style="2" customWidth="1"/>
    <col min="2055" max="2055" width="12.109375" style="2" bestFit="1" customWidth="1"/>
    <col min="2056" max="2056" width="10.6640625" style="2" customWidth="1"/>
    <col min="2057" max="2057" width="10.88671875" style="2" bestFit="1" customWidth="1"/>
    <col min="2058" max="2058" width="9.88671875" style="2" bestFit="1" customWidth="1"/>
    <col min="2059" max="2060" width="11" style="2" bestFit="1" customWidth="1"/>
    <col min="2061" max="2304" width="9.109375" style="2"/>
    <col min="2305" max="2305" width="9.6640625" style="2" customWidth="1"/>
    <col min="2306" max="2306" width="42.109375" style="2" customWidth="1"/>
    <col min="2307" max="2308" width="10" style="2" bestFit="1" customWidth="1"/>
    <col min="2309" max="2309" width="12.88671875" style="2" customWidth="1"/>
    <col min="2310" max="2310" width="105.88671875" style="2" customWidth="1"/>
    <col min="2311" max="2311" width="12.109375" style="2" bestFit="1" customWidth="1"/>
    <col min="2312" max="2312" width="10.6640625" style="2" customWidth="1"/>
    <col min="2313" max="2313" width="10.88671875" style="2" bestFit="1" customWidth="1"/>
    <col min="2314" max="2314" width="9.88671875" style="2" bestFit="1" customWidth="1"/>
    <col min="2315" max="2316" width="11" style="2" bestFit="1" customWidth="1"/>
    <col min="2317" max="2560" width="9.109375" style="2"/>
    <col min="2561" max="2561" width="9.6640625" style="2" customWidth="1"/>
    <col min="2562" max="2562" width="42.109375" style="2" customWidth="1"/>
    <col min="2563" max="2564" width="10" style="2" bestFit="1" customWidth="1"/>
    <col min="2565" max="2565" width="12.88671875" style="2" customWidth="1"/>
    <col min="2566" max="2566" width="105.88671875" style="2" customWidth="1"/>
    <col min="2567" max="2567" width="12.109375" style="2" bestFit="1" customWidth="1"/>
    <col min="2568" max="2568" width="10.6640625" style="2" customWidth="1"/>
    <col min="2569" max="2569" width="10.88671875" style="2" bestFit="1" customWidth="1"/>
    <col min="2570" max="2570" width="9.88671875" style="2" bestFit="1" customWidth="1"/>
    <col min="2571" max="2572" width="11" style="2" bestFit="1" customWidth="1"/>
    <col min="2573" max="2816" width="9.109375" style="2"/>
    <col min="2817" max="2817" width="9.6640625" style="2" customWidth="1"/>
    <col min="2818" max="2818" width="42.109375" style="2" customWidth="1"/>
    <col min="2819" max="2820" width="10" style="2" bestFit="1" customWidth="1"/>
    <col min="2821" max="2821" width="12.88671875" style="2" customWidth="1"/>
    <col min="2822" max="2822" width="105.88671875" style="2" customWidth="1"/>
    <col min="2823" max="2823" width="12.109375" style="2" bestFit="1" customWidth="1"/>
    <col min="2824" max="2824" width="10.6640625" style="2" customWidth="1"/>
    <col min="2825" max="2825" width="10.88671875" style="2" bestFit="1" customWidth="1"/>
    <col min="2826" max="2826" width="9.88671875" style="2" bestFit="1" customWidth="1"/>
    <col min="2827" max="2828" width="11" style="2" bestFit="1" customWidth="1"/>
    <col min="2829" max="3072" width="9.109375" style="2"/>
    <col min="3073" max="3073" width="9.6640625" style="2" customWidth="1"/>
    <col min="3074" max="3074" width="42.109375" style="2" customWidth="1"/>
    <col min="3075" max="3076" width="10" style="2" bestFit="1" customWidth="1"/>
    <col min="3077" max="3077" width="12.88671875" style="2" customWidth="1"/>
    <col min="3078" max="3078" width="105.88671875" style="2" customWidth="1"/>
    <col min="3079" max="3079" width="12.109375" style="2" bestFit="1" customWidth="1"/>
    <col min="3080" max="3080" width="10.6640625" style="2" customWidth="1"/>
    <col min="3081" max="3081" width="10.88671875" style="2" bestFit="1" customWidth="1"/>
    <col min="3082" max="3082" width="9.88671875" style="2" bestFit="1" customWidth="1"/>
    <col min="3083" max="3084" width="11" style="2" bestFit="1" customWidth="1"/>
    <col min="3085" max="3328" width="9.109375" style="2"/>
    <col min="3329" max="3329" width="9.6640625" style="2" customWidth="1"/>
    <col min="3330" max="3330" width="42.109375" style="2" customWidth="1"/>
    <col min="3331" max="3332" width="10" style="2" bestFit="1" customWidth="1"/>
    <col min="3333" max="3333" width="12.88671875" style="2" customWidth="1"/>
    <col min="3334" max="3334" width="105.88671875" style="2" customWidth="1"/>
    <col min="3335" max="3335" width="12.109375" style="2" bestFit="1" customWidth="1"/>
    <col min="3336" max="3336" width="10.6640625" style="2" customWidth="1"/>
    <col min="3337" max="3337" width="10.88671875" style="2" bestFit="1" customWidth="1"/>
    <col min="3338" max="3338" width="9.88671875" style="2" bestFit="1" customWidth="1"/>
    <col min="3339" max="3340" width="11" style="2" bestFit="1" customWidth="1"/>
    <col min="3341" max="3584" width="9.109375" style="2"/>
    <col min="3585" max="3585" width="9.6640625" style="2" customWidth="1"/>
    <col min="3586" max="3586" width="42.109375" style="2" customWidth="1"/>
    <col min="3587" max="3588" width="10" style="2" bestFit="1" customWidth="1"/>
    <col min="3589" max="3589" width="12.88671875" style="2" customWidth="1"/>
    <col min="3590" max="3590" width="105.88671875" style="2" customWidth="1"/>
    <col min="3591" max="3591" width="12.109375" style="2" bestFit="1" customWidth="1"/>
    <col min="3592" max="3592" width="10.6640625" style="2" customWidth="1"/>
    <col min="3593" max="3593" width="10.88671875" style="2" bestFit="1" customWidth="1"/>
    <col min="3594" max="3594" width="9.88671875" style="2" bestFit="1" customWidth="1"/>
    <col min="3595" max="3596" width="11" style="2" bestFit="1" customWidth="1"/>
    <col min="3597" max="3840" width="9.109375" style="2"/>
    <col min="3841" max="3841" width="9.6640625" style="2" customWidth="1"/>
    <col min="3842" max="3842" width="42.109375" style="2" customWidth="1"/>
    <col min="3843" max="3844" width="10" style="2" bestFit="1" customWidth="1"/>
    <col min="3845" max="3845" width="12.88671875" style="2" customWidth="1"/>
    <col min="3846" max="3846" width="105.88671875" style="2" customWidth="1"/>
    <col min="3847" max="3847" width="12.109375" style="2" bestFit="1" customWidth="1"/>
    <col min="3848" max="3848" width="10.6640625" style="2" customWidth="1"/>
    <col min="3849" max="3849" width="10.88671875" style="2" bestFit="1" customWidth="1"/>
    <col min="3850" max="3850" width="9.88671875" style="2" bestFit="1" customWidth="1"/>
    <col min="3851" max="3852" width="11" style="2" bestFit="1" customWidth="1"/>
    <col min="3853" max="4096" width="9.109375" style="2"/>
    <col min="4097" max="4097" width="9.6640625" style="2" customWidth="1"/>
    <col min="4098" max="4098" width="42.109375" style="2" customWidth="1"/>
    <col min="4099" max="4100" width="10" style="2" bestFit="1" customWidth="1"/>
    <col min="4101" max="4101" width="12.88671875" style="2" customWidth="1"/>
    <col min="4102" max="4102" width="105.88671875" style="2" customWidth="1"/>
    <col min="4103" max="4103" width="12.109375" style="2" bestFit="1" customWidth="1"/>
    <col min="4104" max="4104" width="10.6640625" style="2" customWidth="1"/>
    <col min="4105" max="4105" width="10.88671875" style="2" bestFit="1" customWidth="1"/>
    <col min="4106" max="4106" width="9.88671875" style="2" bestFit="1" customWidth="1"/>
    <col min="4107" max="4108" width="11" style="2" bestFit="1" customWidth="1"/>
    <col min="4109" max="4352" width="9.109375" style="2"/>
    <col min="4353" max="4353" width="9.6640625" style="2" customWidth="1"/>
    <col min="4354" max="4354" width="42.109375" style="2" customWidth="1"/>
    <col min="4355" max="4356" width="10" style="2" bestFit="1" customWidth="1"/>
    <col min="4357" max="4357" width="12.88671875" style="2" customWidth="1"/>
    <col min="4358" max="4358" width="105.88671875" style="2" customWidth="1"/>
    <col min="4359" max="4359" width="12.109375" style="2" bestFit="1" customWidth="1"/>
    <col min="4360" max="4360" width="10.6640625" style="2" customWidth="1"/>
    <col min="4361" max="4361" width="10.88671875" style="2" bestFit="1" customWidth="1"/>
    <col min="4362" max="4362" width="9.88671875" style="2" bestFit="1" customWidth="1"/>
    <col min="4363" max="4364" width="11" style="2" bestFit="1" customWidth="1"/>
    <col min="4365" max="4608" width="9.109375" style="2"/>
    <col min="4609" max="4609" width="9.6640625" style="2" customWidth="1"/>
    <col min="4610" max="4610" width="42.109375" style="2" customWidth="1"/>
    <col min="4611" max="4612" width="10" style="2" bestFit="1" customWidth="1"/>
    <col min="4613" max="4613" width="12.88671875" style="2" customWidth="1"/>
    <col min="4614" max="4614" width="105.88671875" style="2" customWidth="1"/>
    <col min="4615" max="4615" width="12.109375" style="2" bestFit="1" customWidth="1"/>
    <col min="4616" max="4616" width="10.6640625" style="2" customWidth="1"/>
    <col min="4617" max="4617" width="10.88671875" style="2" bestFit="1" customWidth="1"/>
    <col min="4618" max="4618" width="9.88671875" style="2" bestFit="1" customWidth="1"/>
    <col min="4619" max="4620" width="11" style="2" bestFit="1" customWidth="1"/>
    <col min="4621" max="4864" width="9.109375" style="2"/>
    <col min="4865" max="4865" width="9.6640625" style="2" customWidth="1"/>
    <col min="4866" max="4866" width="42.109375" style="2" customWidth="1"/>
    <col min="4867" max="4868" width="10" style="2" bestFit="1" customWidth="1"/>
    <col min="4869" max="4869" width="12.88671875" style="2" customWidth="1"/>
    <col min="4870" max="4870" width="105.88671875" style="2" customWidth="1"/>
    <col min="4871" max="4871" width="12.109375" style="2" bestFit="1" customWidth="1"/>
    <col min="4872" max="4872" width="10.6640625" style="2" customWidth="1"/>
    <col min="4873" max="4873" width="10.88671875" style="2" bestFit="1" customWidth="1"/>
    <col min="4874" max="4874" width="9.88671875" style="2" bestFit="1" customWidth="1"/>
    <col min="4875" max="4876" width="11" style="2" bestFit="1" customWidth="1"/>
    <col min="4877" max="5120" width="9.109375" style="2"/>
    <col min="5121" max="5121" width="9.6640625" style="2" customWidth="1"/>
    <col min="5122" max="5122" width="42.109375" style="2" customWidth="1"/>
    <col min="5123" max="5124" width="10" style="2" bestFit="1" customWidth="1"/>
    <col min="5125" max="5125" width="12.88671875" style="2" customWidth="1"/>
    <col min="5126" max="5126" width="105.88671875" style="2" customWidth="1"/>
    <col min="5127" max="5127" width="12.109375" style="2" bestFit="1" customWidth="1"/>
    <col min="5128" max="5128" width="10.6640625" style="2" customWidth="1"/>
    <col min="5129" max="5129" width="10.88671875" style="2" bestFit="1" customWidth="1"/>
    <col min="5130" max="5130" width="9.88671875" style="2" bestFit="1" customWidth="1"/>
    <col min="5131" max="5132" width="11" style="2" bestFit="1" customWidth="1"/>
    <col min="5133" max="5376" width="9.109375" style="2"/>
    <col min="5377" max="5377" width="9.6640625" style="2" customWidth="1"/>
    <col min="5378" max="5378" width="42.109375" style="2" customWidth="1"/>
    <col min="5379" max="5380" width="10" style="2" bestFit="1" customWidth="1"/>
    <col min="5381" max="5381" width="12.88671875" style="2" customWidth="1"/>
    <col min="5382" max="5382" width="105.88671875" style="2" customWidth="1"/>
    <col min="5383" max="5383" width="12.109375" style="2" bestFit="1" customWidth="1"/>
    <col min="5384" max="5384" width="10.6640625" style="2" customWidth="1"/>
    <col min="5385" max="5385" width="10.88671875" style="2" bestFit="1" customWidth="1"/>
    <col min="5386" max="5386" width="9.88671875" style="2" bestFit="1" customWidth="1"/>
    <col min="5387" max="5388" width="11" style="2" bestFit="1" customWidth="1"/>
    <col min="5389" max="5632" width="9.109375" style="2"/>
    <col min="5633" max="5633" width="9.6640625" style="2" customWidth="1"/>
    <col min="5634" max="5634" width="42.109375" style="2" customWidth="1"/>
    <col min="5635" max="5636" width="10" style="2" bestFit="1" customWidth="1"/>
    <col min="5637" max="5637" width="12.88671875" style="2" customWidth="1"/>
    <col min="5638" max="5638" width="105.88671875" style="2" customWidth="1"/>
    <col min="5639" max="5639" width="12.109375" style="2" bestFit="1" customWidth="1"/>
    <col min="5640" max="5640" width="10.6640625" style="2" customWidth="1"/>
    <col min="5641" max="5641" width="10.88671875" style="2" bestFit="1" customWidth="1"/>
    <col min="5642" max="5642" width="9.88671875" style="2" bestFit="1" customWidth="1"/>
    <col min="5643" max="5644" width="11" style="2" bestFit="1" customWidth="1"/>
    <col min="5645" max="5888" width="9.109375" style="2"/>
    <col min="5889" max="5889" width="9.6640625" style="2" customWidth="1"/>
    <col min="5890" max="5890" width="42.109375" style="2" customWidth="1"/>
    <col min="5891" max="5892" width="10" style="2" bestFit="1" customWidth="1"/>
    <col min="5893" max="5893" width="12.88671875" style="2" customWidth="1"/>
    <col min="5894" max="5894" width="105.88671875" style="2" customWidth="1"/>
    <col min="5895" max="5895" width="12.109375" style="2" bestFit="1" customWidth="1"/>
    <col min="5896" max="5896" width="10.6640625" style="2" customWidth="1"/>
    <col min="5897" max="5897" width="10.88671875" style="2" bestFit="1" customWidth="1"/>
    <col min="5898" max="5898" width="9.88671875" style="2" bestFit="1" customWidth="1"/>
    <col min="5899" max="5900" width="11" style="2" bestFit="1" customWidth="1"/>
    <col min="5901" max="6144" width="9.109375" style="2"/>
    <col min="6145" max="6145" width="9.6640625" style="2" customWidth="1"/>
    <col min="6146" max="6146" width="42.109375" style="2" customWidth="1"/>
    <col min="6147" max="6148" width="10" style="2" bestFit="1" customWidth="1"/>
    <col min="6149" max="6149" width="12.88671875" style="2" customWidth="1"/>
    <col min="6150" max="6150" width="105.88671875" style="2" customWidth="1"/>
    <col min="6151" max="6151" width="12.109375" style="2" bestFit="1" customWidth="1"/>
    <col min="6152" max="6152" width="10.6640625" style="2" customWidth="1"/>
    <col min="6153" max="6153" width="10.88671875" style="2" bestFit="1" customWidth="1"/>
    <col min="6154" max="6154" width="9.88671875" style="2" bestFit="1" customWidth="1"/>
    <col min="6155" max="6156" width="11" style="2" bestFit="1" customWidth="1"/>
    <col min="6157" max="6400" width="9.109375" style="2"/>
    <col min="6401" max="6401" width="9.6640625" style="2" customWidth="1"/>
    <col min="6402" max="6402" width="42.109375" style="2" customWidth="1"/>
    <col min="6403" max="6404" width="10" style="2" bestFit="1" customWidth="1"/>
    <col min="6405" max="6405" width="12.88671875" style="2" customWidth="1"/>
    <col min="6406" max="6406" width="105.88671875" style="2" customWidth="1"/>
    <col min="6407" max="6407" width="12.109375" style="2" bestFit="1" customWidth="1"/>
    <col min="6408" max="6408" width="10.6640625" style="2" customWidth="1"/>
    <col min="6409" max="6409" width="10.88671875" style="2" bestFit="1" customWidth="1"/>
    <col min="6410" max="6410" width="9.88671875" style="2" bestFit="1" customWidth="1"/>
    <col min="6411" max="6412" width="11" style="2" bestFit="1" customWidth="1"/>
    <col min="6413" max="6656" width="9.109375" style="2"/>
    <col min="6657" max="6657" width="9.6640625" style="2" customWidth="1"/>
    <col min="6658" max="6658" width="42.109375" style="2" customWidth="1"/>
    <col min="6659" max="6660" width="10" style="2" bestFit="1" customWidth="1"/>
    <col min="6661" max="6661" width="12.88671875" style="2" customWidth="1"/>
    <col min="6662" max="6662" width="105.88671875" style="2" customWidth="1"/>
    <col min="6663" max="6663" width="12.109375" style="2" bestFit="1" customWidth="1"/>
    <col min="6664" max="6664" width="10.6640625" style="2" customWidth="1"/>
    <col min="6665" max="6665" width="10.88671875" style="2" bestFit="1" customWidth="1"/>
    <col min="6666" max="6666" width="9.88671875" style="2" bestFit="1" customWidth="1"/>
    <col min="6667" max="6668" width="11" style="2" bestFit="1" customWidth="1"/>
    <col min="6669" max="6912" width="9.109375" style="2"/>
    <col min="6913" max="6913" width="9.6640625" style="2" customWidth="1"/>
    <col min="6914" max="6914" width="42.109375" style="2" customWidth="1"/>
    <col min="6915" max="6916" width="10" style="2" bestFit="1" customWidth="1"/>
    <col min="6917" max="6917" width="12.88671875" style="2" customWidth="1"/>
    <col min="6918" max="6918" width="105.88671875" style="2" customWidth="1"/>
    <col min="6919" max="6919" width="12.109375" style="2" bestFit="1" customWidth="1"/>
    <col min="6920" max="6920" width="10.6640625" style="2" customWidth="1"/>
    <col min="6921" max="6921" width="10.88671875" style="2" bestFit="1" customWidth="1"/>
    <col min="6922" max="6922" width="9.88671875" style="2" bestFit="1" customWidth="1"/>
    <col min="6923" max="6924" width="11" style="2" bestFit="1" customWidth="1"/>
    <col min="6925" max="7168" width="9.109375" style="2"/>
    <col min="7169" max="7169" width="9.6640625" style="2" customWidth="1"/>
    <col min="7170" max="7170" width="42.109375" style="2" customWidth="1"/>
    <col min="7171" max="7172" width="10" style="2" bestFit="1" customWidth="1"/>
    <col min="7173" max="7173" width="12.88671875" style="2" customWidth="1"/>
    <col min="7174" max="7174" width="105.88671875" style="2" customWidth="1"/>
    <col min="7175" max="7175" width="12.109375" style="2" bestFit="1" customWidth="1"/>
    <col min="7176" max="7176" width="10.6640625" style="2" customWidth="1"/>
    <col min="7177" max="7177" width="10.88671875" style="2" bestFit="1" customWidth="1"/>
    <col min="7178" max="7178" width="9.88671875" style="2" bestFit="1" customWidth="1"/>
    <col min="7179" max="7180" width="11" style="2" bestFit="1" customWidth="1"/>
    <col min="7181" max="7424" width="9.109375" style="2"/>
    <col min="7425" max="7425" width="9.6640625" style="2" customWidth="1"/>
    <col min="7426" max="7426" width="42.109375" style="2" customWidth="1"/>
    <col min="7427" max="7428" width="10" style="2" bestFit="1" customWidth="1"/>
    <col min="7429" max="7429" width="12.88671875" style="2" customWidth="1"/>
    <col min="7430" max="7430" width="105.88671875" style="2" customWidth="1"/>
    <col min="7431" max="7431" width="12.109375" style="2" bestFit="1" customWidth="1"/>
    <col min="7432" max="7432" width="10.6640625" style="2" customWidth="1"/>
    <col min="7433" max="7433" width="10.88671875" style="2" bestFit="1" customWidth="1"/>
    <col min="7434" max="7434" width="9.88671875" style="2" bestFit="1" customWidth="1"/>
    <col min="7435" max="7436" width="11" style="2" bestFit="1" customWidth="1"/>
    <col min="7437" max="7680" width="9.109375" style="2"/>
    <col min="7681" max="7681" width="9.6640625" style="2" customWidth="1"/>
    <col min="7682" max="7682" width="42.109375" style="2" customWidth="1"/>
    <col min="7683" max="7684" width="10" style="2" bestFit="1" customWidth="1"/>
    <col min="7685" max="7685" width="12.88671875" style="2" customWidth="1"/>
    <col min="7686" max="7686" width="105.88671875" style="2" customWidth="1"/>
    <col min="7687" max="7687" width="12.109375" style="2" bestFit="1" customWidth="1"/>
    <col min="7688" max="7688" width="10.6640625" style="2" customWidth="1"/>
    <col min="7689" max="7689" width="10.88671875" style="2" bestFit="1" customWidth="1"/>
    <col min="7690" max="7690" width="9.88671875" style="2" bestFit="1" customWidth="1"/>
    <col min="7691" max="7692" width="11" style="2" bestFit="1" customWidth="1"/>
    <col min="7693" max="7936" width="9.109375" style="2"/>
    <col min="7937" max="7937" width="9.6640625" style="2" customWidth="1"/>
    <col min="7938" max="7938" width="42.109375" style="2" customWidth="1"/>
    <col min="7939" max="7940" width="10" style="2" bestFit="1" customWidth="1"/>
    <col min="7941" max="7941" width="12.88671875" style="2" customWidth="1"/>
    <col min="7942" max="7942" width="105.88671875" style="2" customWidth="1"/>
    <col min="7943" max="7943" width="12.109375" style="2" bestFit="1" customWidth="1"/>
    <col min="7944" max="7944" width="10.6640625" style="2" customWidth="1"/>
    <col min="7945" max="7945" width="10.88671875" style="2" bestFit="1" customWidth="1"/>
    <col min="7946" max="7946" width="9.88671875" style="2" bestFit="1" customWidth="1"/>
    <col min="7947" max="7948" width="11" style="2" bestFit="1" customWidth="1"/>
    <col min="7949" max="8192" width="9.109375" style="2"/>
    <col min="8193" max="8193" width="9.6640625" style="2" customWidth="1"/>
    <col min="8194" max="8194" width="42.109375" style="2" customWidth="1"/>
    <col min="8195" max="8196" width="10" style="2" bestFit="1" customWidth="1"/>
    <col min="8197" max="8197" width="12.88671875" style="2" customWidth="1"/>
    <col min="8198" max="8198" width="105.88671875" style="2" customWidth="1"/>
    <col min="8199" max="8199" width="12.109375" style="2" bestFit="1" customWidth="1"/>
    <col min="8200" max="8200" width="10.6640625" style="2" customWidth="1"/>
    <col min="8201" max="8201" width="10.88671875" style="2" bestFit="1" customWidth="1"/>
    <col min="8202" max="8202" width="9.88671875" style="2" bestFit="1" customWidth="1"/>
    <col min="8203" max="8204" width="11" style="2" bestFit="1" customWidth="1"/>
    <col min="8205" max="8448" width="9.109375" style="2"/>
    <col min="8449" max="8449" width="9.6640625" style="2" customWidth="1"/>
    <col min="8450" max="8450" width="42.109375" style="2" customWidth="1"/>
    <col min="8451" max="8452" width="10" style="2" bestFit="1" customWidth="1"/>
    <col min="8453" max="8453" width="12.88671875" style="2" customWidth="1"/>
    <col min="8454" max="8454" width="105.88671875" style="2" customWidth="1"/>
    <col min="8455" max="8455" width="12.109375" style="2" bestFit="1" customWidth="1"/>
    <col min="8456" max="8456" width="10.6640625" style="2" customWidth="1"/>
    <col min="8457" max="8457" width="10.88671875" style="2" bestFit="1" customWidth="1"/>
    <col min="8458" max="8458" width="9.88671875" style="2" bestFit="1" customWidth="1"/>
    <col min="8459" max="8460" width="11" style="2" bestFit="1" customWidth="1"/>
    <col min="8461" max="8704" width="9.109375" style="2"/>
    <col min="8705" max="8705" width="9.6640625" style="2" customWidth="1"/>
    <col min="8706" max="8706" width="42.109375" style="2" customWidth="1"/>
    <col min="8707" max="8708" width="10" style="2" bestFit="1" customWidth="1"/>
    <col min="8709" max="8709" width="12.88671875" style="2" customWidth="1"/>
    <col min="8710" max="8710" width="105.88671875" style="2" customWidth="1"/>
    <col min="8711" max="8711" width="12.109375" style="2" bestFit="1" customWidth="1"/>
    <col min="8712" max="8712" width="10.6640625" style="2" customWidth="1"/>
    <col min="8713" max="8713" width="10.88671875" style="2" bestFit="1" customWidth="1"/>
    <col min="8714" max="8714" width="9.88671875" style="2" bestFit="1" customWidth="1"/>
    <col min="8715" max="8716" width="11" style="2" bestFit="1" customWidth="1"/>
    <col min="8717" max="8960" width="9.109375" style="2"/>
    <col min="8961" max="8961" width="9.6640625" style="2" customWidth="1"/>
    <col min="8962" max="8962" width="42.109375" style="2" customWidth="1"/>
    <col min="8963" max="8964" width="10" style="2" bestFit="1" customWidth="1"/>
    <col min="8965" max="8965" width="12.88671875" style="2" customWidth="1"/>
    <col min="8966" max="8966" width="105.88671875" style="2" customWidth="1"/>
    <col min="8967" max="8967" width="12.109375" style="2" bestFit="1" customWidth="1"/>
    <col min="8968" max="8968" width="10.6640625" style="2" customWidth="1"/>
    <col min="8969" max="8969" width="10.88671875" style="2" bestFit="1" customWidth="1"/>
    <col min="8970" max="8970" width="9.88671875" style="2" bestFit="1" customWidth="1"/>
    <col min="8971" max="8972" width="11" style="2" bestFit="1" customWidth="1"/>
    <col min="8973" max="9216" width="9.109375" style="2"/>
    <col min="9217" max="9217" width="9.6640625" style="2" customWidth="1"/>
    <col min="9218" max="9218" width="42.109375" style="2" customWidth="1"/>
    <col min="9219" max="9220" width="10" style="2" bestFit="1" customWidth="1"/>
    <col min="9221" max="9221" width="12.88671875" style="2" customWidth="1"/>
    <col min="9222" max="9222" width="105.88671875" style="2" customWidth="1"/>
    <col min="9223" max="9223" width="12.109375" style="2" bestFit="1" customWidth="1"/>
    <col min="9224" max="9224" width="10.6640625" style="2" customWidth="1"/>
    <col min="9225" max="9225" width="10.88671875" style="2" bestFit="1" customWidth="1"/>
    <col min="9226" max="9226" width="9.88671875" style="2" bestFit="1" customWidth="1"/>
    <col min="9227" max="9228" width="11" style="2" bestFit="1" customWidth="1"/>
    <col min="9229" max="9472" width="9.109375" style="2"/>
    <col min="9473" max="9473" width="9.6640625" style="2" customWidth="1"/>
    <col min="9474" max="9474" width="42.109375" style="2" customWidth="1"/>
    <col min="9475" max="9476" width="10" style="2" bestFit="1" customWidth="1"/>
    <col min="9477" max="9477" width="12.88671875" style="2" customWidth="1"/>
    <col min="9478" max="9478" width="105.88671875" style="2" customWidth="1"/>
    <col min="9479" max="9479" width="12.109375" style="2" bestFit="1" customWidth="1"/>
    <col min="9480" max="9480" width="10.6640625" style="2" customWidth="1"/>
    <col min="9481" max="9481" width="10.88671875" style="2" bestFit="1" customWidth="1"/>
    <col min="9482" max="9482" width="9.88671875" style="2" bestFit="1" customWidth="1"/>
    <col min="9483" max="9484" width="11" style="2" bestFit="1" customWidth="1"/>
    <col min="9485" max="9728" width="9.109375" style="2"/>
    <col min="9729" max="9729" width="9.6640625" style="2" customWidth="1"/>
    <col min="9730" max="9730" width="42.109375" style="2" customWidth="1"/>
    <col min="9731" max="9732" width="10" style="2" bestFit="1" customWidth="1"/>
    <col min="9733" max="9733" width="12.88671875" style="2" customWidth="1"/>
    <col min="9734" max="9734" width="105.88671875" style="2" customWidth="1"/>
    <col min="9735" max="9735" width="12.109375" style="2" bestFit="1" customWidth="1"/>
    <col min="9736" max="9736" width="10.6640625" style="2" customWidth="1"/>
    <col min="9737" max="9737" width="10.88671875" style="2" bestFit="1" customWidth="1"/>
    <col min="9738" max="9738" width="9.88671875" style="2" bestFit="1" customWidth="1"/>
    <col min="9739" max="9740" width="11" style="2" bestFit="1" customWidth="1"/>
    <col min="9741" max="9984" width="9.109375" style="2"/>
    <col min="9985" max="9985" width="9.6640625" style="2" customWidth="1"/>
    <col min="9986" max="9986" width="42.109375" style="2" customWidth="1"/>
    <col min="9987" max="9988" width="10" style="2" bestFit="1" customWidth="1"/>
    <col min="9989" max="9989" width="12.88671875" style="2" customWidth="1"/>
    <col min="9990" max="9990" width="105.88671875" style="2" customWidth="1"/>
    <col min="9991" max="9991" width="12.109375" style="2" bestFit="1" customWidth="1"/>
    <col min="9992" max="9992" width="10.6640625" style="2" customWidth="1"/>
    <col min="9993" max="9993" width="10.88671875" style="2" bestFit="1" customWidth="1"/>
    <col min="9994" max="9994" width="9.88671875" style="2" bestFit="1" customWidth="1"/>
    <col min="9995" max="9996" width="11" style="2" bestFit="1" customWidth="1"/>
    <col min="9997" max="10240" width="9.109375" style="2"/>
    <col min="10241" max="10241" width="9.6640625" style="2" customWidth="1"/>
    <col min="10242" max="10242" width="42.109375" style="2" customWidth="1"/>
    <col min="10243" max="10244" width="10" style="2" bestFit="1" customWidth="1"/>
    <col min="10245" max="10245" width="12.88671875" style="2" customWidth="1"/>
    <col min="10246" max="10246" width="105.88671875" style="2" customWidth="1"/>
    <col min="10247" max="10247" width="12.109375" style="2" bestFit="1" customWidth="1"/>
    <col min="10248" max="10248" width="10.6640625" style="2" customWidth="1"/>
    <col min="10249" max="10249" width="10.88671875" style="2" bestFit="1" customWidth="1"/>
    <col min="10250" max="10250" width="9.88671875" style="2" bestFit="1" customWidth="1"/>
    <col min="10251" max="10252" width="11" style="2" bestFit="1" customWidth="1"/>
    <col min="10253" max="10496" width="9.109375" style="2"/>
    <col min="10497" max="10497" width="9.6640625" style="2" customWidth="1"/>
    <col min="10498" max="10498" width="42.109375" style="2" customWidth="1"/>
    <col min="10499" max="10500" width="10" style="2" bestFit="1" customWidth="1"/>
    <col min="10501" max="10501" width="12.88671875" style="2" customWidth="1"/>
    <col min="10502" max="10502" width="105.88671875" style="2" customWidth="1"/>
    <col min="10503" max="10503" width="12.109375" style="2" bestFit="1" customWidth="1"/>
    <col min="10504" max="10504" width="10.6640625" style="2" customWidth="1"/>
    <col min="10505" max="10505" width="10.88671875" style="2" bestFit="1" customWidth="1"/>
    <col min="10506" max="10506" width="9.88671875" style="2" bestFit="1" customWidth="1"/>
    <col min="10507" max="10508" width="11" style="2" bestFit="1" customWidth="1"/>
    <col min="10509" max="10752" width="9.109375" style="2"/>
    <col min="10753" max="10753" width="9.6640625" style="2" customWidth="1"/>
    <col min="10754" max="10754" width="42.109375" style="2" customWidth="1"/>
    <col min="10755" max="10756" width="10" style="2" bestFit="1" customWidth="1"/>
    <col min="10757" max="10757" width="12.88671875" style="2" customWidth="1"/>
    <col min="10758" max="10758" width="105.88671875" style="2" customWidth="1"/>
    <col min="10759" max="10759" width="12.109375" style="2" bestFit="1" customWidth="1"/>
    <col min="10760" max="10760" width="10.6640625" style="2" customWidth="1"/>
    <col min="10761" max="10761" width="10.88671875" style="2" bestFit="1" customWidth="1"/>
    <col min="10762" max="10762" width="9.88671875" style="2" bestFit="1" customWidth="1"/>
    <col min="10763" max="10764" width="11" style="2" bestFit="1" customWidth="1"/>
    <col min="10765" max="11008" width="9.109375" style="2"/>
    <col min="11009" max="11009" width="9.6640625" style="2" customWidth="1"/>
    <col min="11010" max="11010" width="42.109375" style="2" customWidth="1"/>
    <col min="11011" max="11012" width="10" style="2" bestFit="1" customWidth="1"/>
    <col min="11013" max="11013" width="12.88671875" style="2" customWidth="1"/>
    <col min="11014" max="11014" width="105.88671875" style="2" customWidth="1"/>
    <col min="11015" max="11015" width="12.109375" style="2" bestFit="1" customWidth="1"/>
    <col min="11016" max="11016" width="10.6640625" style="2" customWidth="1"/>
    <col min="11017" max="11017" width="10.88671875" style="2" bestFit="1" customWidth="1"/>
    <col min="11018" max="11018" width="9.88671875" style="2" bestFit="1" customWidth="1"/>
    <col min="11019" max="11020" width="11" style="2" bestFit="1" customWidth="1"/>
    <col min="11021" max="11264" width="9.109375" style="2"/>
    <col min="11265" max="11265" width="9.6640625" style="2" customWidth="1"/>
    <col min="11266" max="11266" width="42.109375" style="2" customWidth="1"/>
    <col min="11267" max="11268" width="10" style="2" bestFit="1" customWidth="1"/>
    <col min="11269" max="11269" width="12.88671875" style="2" customWidth="1"/>
    <col min="11270" max="11270" width="105.88671875" style="2" customWidth="1"/>
    <col min="11271" max="11271" width="12.109375" style="2" bestFit="1" customWidth="1"/>
    <col min="11272" max="11272" width="10.6640625" style="2" customWidth="1"/>
    <col min="11273" max="11273" width="10.88671875" style="2" bestFit="1" customWidth="1"/>
    <col min="11274" max="11274" width="9.88671875" style="2" bestFit="1" customWidth="1"/>
    <col min="11275" max="11276" width="11" style="2" bestFit="1" customWidth="1"/>
    <col min="11277" max="11520" width="9.109375" style="2"/>
    <col min="11521" max="11521" width="9.6640625" style="2" customWidth="1"/>
    <col min="11522" max="11522" width="42.109375" style="2" customWidth="1"/>
    <col min="11523" max="11524" width="10" style="2" bestFit="1" customWidth="1"/>
    <col min="11525" max="11525" width="12.88671875" style="2" customWidth="1"/>
    <col min="11526" max="11526" width="105.88671875" style="2" customWidth="1"/>
    <col min="11527" max="11527" width="12.109375" style="2" bestFit="1" customWidth="1"/>
    <col min="11528" max="11528" width="10.6640625" style="2" customWidth="1"/>
    <col min="11529" max="11529" width="10.88671875" style="2" bestFit="1" customWidth="1"/>
    <col min="11530" max="11530" width="9.88671875" style="2" bestFit="1" customWidth="1"/>
    <col min="11531" max="11532" width="11" style="2" bestFit="1" customWidth="1"/>
    <col min="11533" max="11776" width="9.109375" style="2"/>
    <col min="11777" max="11777" width="9.6640625" style="2" customWidth="1"/>
    <col min="11778" max="11778" width="42.109375" style="2" customWidth="1"/>
    <col min="11779" max="11780" width="10" style="2" bestFit="1" customWidth="1"/>
    <col min="11781" max="11781" width="12.88671875" style="2" customWidth="1"/>
    <col min="11782" max="11782" width="105.88671875" style="2" customWidth="1"/>
    <col min="11783" max="11783" width="12.109375" style="2" bestFit="1" customWidth="1"/>
    <col min="11784" max="11784" width="10.6640625" style="2" customWidth="1"/>
    <col min="11785" max="11785" width="10.88671875" style="2" bestFit="1" customWidth="1"/>
    <col min="11786" max="11786" width="9.88671875" style="2" bestFit="1" customWidth="1"/>
    <col min="11787" max="11788" width="11" style="2" bestFit="1" customWidth="1"/>
    <col min="11789" max="12032" width="9.109375" style="2"/>
    <col min="12033" max="12033" width="9.6640625" style="2" customWidth="1"/>
    <col min="12034" max="12034" width="42.109375" style="2" customWidth="1"/>
    <col min="12035" max="12036" width="10" style="2" bestFit="1" customWidth="1"/>
    <col min="12037" max="12037" width="12.88671875" style="2" customWidth="1"/>
    <col min="12038" max="12038" width="105.88671875" style="2" customWidth="1"/>
    <col min="12039" max="12039" width="12.109375" style="2" bestFit="1" customWidth="1"/>
    <col min="12040" max="12040" width="10.6640625" style="2" customWidth="1"/>
    <col min="12041" max="12041" width="10.88671875" style="2" bestFit="1" customWidth="1"/>
    <col min="12042" max="12042" width="9.88671875" style="2" bestFit="1" customWidth="1"/>
    <col min="12043" max="12044" width="11" style="2" bestFit="1" customWidth="1"/>
    <col min="12045" max="12288" width="9.109375" style="2"/>
    <col min="12289" max="12289" width="9.6640625" style="2" customWidth="1"/>
    <col min="12290" max="12290" width="42.109375" style="2" customWidth="1"/>
    <col min="12291" max="12292" width="10" style="2" bestFit="1" customWidth="1"/>
    <col min="12293" max="12293" width="12.88671875" style="2" customWidth="1"/>
    <col min="12294" max="12294" width="105.88671875" style="2" customWidth="1"/>
    <col min="12295" max="12295" width="12.109375" style="2" bestFit="1" customWidth="1"/>
    <col min="12296" max="12296" width="10.6640625" style="2" customWidth="1"/>
    <col min="12297" max="12297" width="10.88671875" style="2" bestFit="1" customWidth="1"/>
    <col min="12298" max="12298" width="9.88671875" style="2" bestFit="1" customWidth="1"/>
    <col min="12299" max="12300" width="11" style="2" bestFit="1" customWidth="1"/>
    <col min="12301" max="12544" width="9.109375" style="2"/>
    <col min="12545" max="12545" width="9.6640625" style="2" customWidth="1"/>
    <col min="12546" max="12546" width="42.109375" style="2" customWidth="1"/>
    <col min="12547" max="12548" width="10" style="2" bestFit="1" customWidth="1"/>
    <col min="12549" max="12549" width="12.88671875" style="2" customWidth="1"/>
    <col min="12550" max="12550" width="105.88671875" style="2" customWidth="1"/>
    <col min="12551" max="12551" width="12.109375" style="2" bestFit="1" customWidth="1"/>
    <col min="12552" max="12552" width="10.6640625" style="2" customWidth="1"/>
    <col min="12553" max="12553" width="10.88671875" style="2" bestFit="1" customWidth="1"/>
    <col min="12554" max="12554" width="9.88671875" style="2" bestFit="1" customWidth="1"/>
    <col min="12555" max="12556" width="11" style="2" bestFit="1" customWidth="1"/>
    <col min="12557" max="12800" width="9.109375" style="2"/>
    <col min="12801" max="12801" width="9.6640625" style="2" customWidth="1"/>
    <col min="12802" max="12802" width="42.109375" style="2" customWidth="1"/>
    <col min="12803" max="12804" width="10" style="2" bestFit="1" customWidth="1"/>
    <col min="12805" max="12805" width="12.88671875" style="2" customWidth="1"/>
    <col min="12806" max="12806" width="105.88671875" style="2" customWidth="1"/>
    <col min="12807" max="12807" width="12.109375" style="2" bestFit="1" customWidth="1"/>
    <col min="12808" max="12808" width="10.6640625" style="2" customWidth="1"/>
    <col min="12809" max="12809" width="10.88671875" style="2" bestFit="1" customWidth="1"/>
    <col min="12810" max="12810" width="9.88671875" style="2" bestFit="1" customWidth="1"/>
    <col min="12811" max="12812" width="11" style="2" bestFit="1" customWidth="1"/>
    <col min="12813" max="13056" width="9.109375" style="2"/>
    <col min="13057" max="13057" width="9.6640625" style="2" customWidth="1"/>
    <col min="13058" max="13058" width="42.109375" style="2" customWidth="1"/>
    <col min="13059" max="13060" width="10" style="2" bestFit="1" customWidth="1"/>
    <col min="13061" max="13061" width="12.88671875" style="2" customWidth="1"/>
    <col min="13062" max="13062" width="105.88671875" style="2" customWidth="1"/>
    <col min="13063" max="13063" width="12.109375" style="2" bestFit="1" customWidth="1"/>
    <col min="13064" max="13064" width="10.6640625" style="2" customWidth="1"/>
    <col min="13065" max="13065" width="10.88671875" style="2" bestFit="1" customWidth="1"/>
    <col min="13066" max="13066" width="9.88671875" style="2" bestFit="1" customWidth="1"/>
    <col min="13067" max="13068" width="11" style="2" bestFit="1" customWidth="1"/>
    <col min="13069" max="13312" width="9.109375" style="2"/>
    <col min="13313" max="13313" width="9.6640625" style="2" customWidth="1"/>
    <col min="13314" max="13314" width="42.109375" style="2" customWidth="1"/>
    <col min="13315" max="13316" width="10" style="2" bestFit="1" customWidth="1"/>
    <col min="13317" max="13317" width="12.88671875" style="2" customWidth="1"/>
    <col min="13318" max="13318" width="105.88671875" style="2" customWidth="1"/>
    <col min="13319" max="13319" width="12.109375" style="2" bestFit="1" customWidth="1"/>
    <col min="13320" max="13320" width="10.6640625" style="2" customWidth="1"/>
    <col min="13321" max="13321" width="10.88671875" style="2" bestFit="1" customWidth="1"/>
    <col min="13322" max="13322" width="9.88671875" style="2" bestFit="1" customWidth="1"/>
    <col min="13323" max="13324" width="11" style="2" bestFit="1" customWidth="1"/>
    <col min="13325" max="13568" width="9.109375" style="2"/>
    <col min="13569" max="13569" width="9.6640625" style="2" customWidth="1"/>
    <col min="13570" max="13570" width="42.109375" style="2" customWidth="1"/>
    <col min="13571" max="13572" width="10" style="2" bestFit="1" customWidth="1"/>
    <col min="13573" max="13573" width="12.88671875" style="2" customWidth="1"/>
    <col min="13574" max="13574" width="105.88671875" style="2" customWidth="1"/>
    <col min="13575" max="13575" width="12.109375" style="2" bestFit="1" customWidth="1"/>
    <col min="13576" max="13576" width="10.6640625" style="2" customWidth="1"/>
    <col min="13577" max="13577" width="10.88671875" style="2" bestFit="1" customWidth="1"/>
    <col min="13578" max="13578" width="9.88671875" style="2" bestFit="1" customWidth="1"/>
    <col min="13579" max="13580" width="11" style="2" bestFit="1" customWidth="1"/>
    <col min="13581" max="13824" width="9.109375" style="2"/>
    <col min="13825" max="13825" width="9.6640625" style="2" customWidth="1"/>
    <col min="13826" max="13826" width="42.109375" style="2" customWidth="1"/>
    <col min="13827" max="13828" width="10" style="2" bestFit="1" customWidth="1"/>
    <col min="13829" max="13829" width="12.88671875" style="2" customWidth="1"/>
    <col min="13830" max="13830" width="105.88671875" style="2" customWidth="1"/>
    <col min="13831" max="13831" width="12.109375" style="2" bestFit="1" customWidth="1"/>
    <col min="13832" max="13832" width="10.6640625" style="2" customWidth="1"/>
    <col min="13833" max="13833" width="10.88671875" style="2" bestFit="1" customWidth="1"/>
    <col min="13834" max="13834" width="9.88671875" style="2" bestFit="1" customWidth="1"/>
    <col min="13835" max="13836" width="11" style="2" bestFit="1" customWidth="1"/>
    <col min="13837" max="14080" width="9.109375" style="2"/>
    <col min="14081" max="14081" width="9.6640625" style="2" customWidth="1"/>
    <col min="14082" max="14082" width="42.109375" style="2" customWidth="1"/>
    <col min="14083" max="14084" width="10" style="2" bestFit="1" customWidth="1"/>
    <col min="14085" max="14085" width="12.88671875" style="2" customWidth="1"/>
    <col min="14086" max="14086" width="105.88671875" style="2" customWidth="1"/>
    <col min="14087" max="14087" width="12.109375" style="2" bestFit="1" customWidth="1"/>
    <col min="14088" max="14088" width="10.6640625" style="2" customWidth="1"/>
    <col min="14089" max="14089" width="10.88671875" style="2" bestFit="1" customWidth="1"/>
    <col min="14090" max="14090" width="9.88671875" style="2" bestFit="1" customWidth="1"/>
    <col min="14091" max="14092" width="11" style="2" bestFit="1" customWidth="1"/>
    <col min="14093" max="14336" width="9.109375" style="2"/>
    <col min="14337" max="14337" width="9.6640625" style="2" customWidth="1"/>
    <col min="14338" max="14338" width="42.109375" style="2" customWidth="1"/>
    <col min="14339" max="14340" width="10" style="2" bestFit="1" customWidth="1"/>
    <col min="14341" max="14341" width="12.88671875" style="2" customWidth="1"/>
    <col min="14342" max="14342" width="105.88671875" style="2" customWidth="1"/>
    <col min="14343" max="14343" width="12.109375" style="2" bestFit="1" customWidth="1"/>
    <col min="14344" max="14344" width="10.6640625" style="2" customWidth="1"/>
    <col min="14345" max="14345" width="10.88671875" style="2" bestFit="1" customWidth="1"/>
    <col min="14346" max="14346" width="9.88671875" style="2" bestFit="1" customWidth="1"/>
    <col min="14347" max="14348" width="11" style="2" bestFit="1" customWidth="1"/>
    <col min="14349" max="14592" width="9.109375" style="2"/>
    <col min="14593" max="14593" width="9.6640625" style="2" customWidth="1"/>
    <col min="14594" max="14594" width="42.109375" style="2" customWidth="1"/>
    <col min="14595" max="14596" width="10" style="2" bestFit="1" customWidth="1"/>
    <col min="14597" max="14597" width="12.88671875" style="2" customWidth="1"/>
    <col min="14598" max="14598" width="105.88671875" style="2" customWidth="1"/>
    <col min="14599" max="14599" width="12.109375" style="2" bestFit="1" customWidth="1"/>
    <col min="14600" max="14600" width="10.6640625" style="2" customWidth="1"/>
    <col min="14601" max="14601" width="10.88671875" style="2" bestFit="1" customWidth="1"/>
    <col min="14602" max="14602" width="9.88671875" style="2" bestFit="1" customWidth="1"/>
    <col min="14603" max="14604" width="11" style="2" bestFit="1" customWidth="1"/>
    <col min="14605" max="14848" width="9.109375" style="2"/>
    <col min="14849" max="14849" width="9.6640625" style="2" customWidth="1"/>
    <col min="14850" max="14850" width="42.109375" style="2" customWidth="1"/>
    <col min="14851" max="14852" width="10" style="2" bestFit="1" customWidth="1"/>
    <col min="14853" max="14853" width="12.88671875" style="2" customWidth="1"/>
    <col min="14854" max="14854" width="105.88671875" style="2" customWidth="1"/>
    <col min="14855" max="14855" width="12.109375" style="2" bestFit="1" customWidth="1"/>
    <col min="14856" max="14856" width="10.6640625" style="2" customWidth="1"/>
    <col min="14857" max="14857" width="10.88671875" style="2" bestFit="1" customWidth="1"/>
    <col min="14858" max="14858" width="9.88671875" style="2" bestFit="1" customWidth="1"/>
    <col min="14859" max="14860" width="11" style="2" bestFit="1" customWidth="1"/>
    <col min="14861" max="15104" width="9.109375" style="2"/>
    <col min="15105" max="15105" width="9.6640625" style="2" customWidth="1"/>
    <col min="15106" max="15106" width="42.109375" style="2" customWidth="1"/>
    <col min="15107" max="15108" width="10" style="2" bestFit="1" customWidth="1"/>
    <col min="15109" max="15109" width="12.88671875" style="2" customWidth="1"/>
    <col min="15110" max="15110" width="105.88671875" style="2" customWidth="1"/>
    <col min="15111" max="15111" width="12.109375" style="2" bestFit="1" customWidth="1"/>
    <col min="15112" max="15112" width="10.6640625" style="2" customWidth="1"/>
    <col min="15113" max="15113" width="10.88671875" style="2" bestFit="1" customWidth="1"/>
    <col min="15114" max="15114" width="9.88671875" style="2" bestFit="1" customWidth="1"/>
    <col min="15115" max="15116" width="11" style="2" bestFit="1" customWidth="1"/>
    <col min="15117" max="15360" width="9.109375" style="2"/>
    <col min="15361" max="15361" width="9.6640625" style="2" customWidth="1"/>
    <col min="15362" max="15362" width="42.109375" style="2" customWidth="1"/>
    <col min="15363" max="15364" width="10" style="2" bestFit="1" customWidth="1"/>
    <col min="15365" max="15365" width="12.88671875" style="2" customWidth="1"/>
    <col min="15366" max="15366" width="105.88671875" style="2" customWidth="1"/>
    <col min="15367" max="15367" width="12.109375" style="2" bestFit="1" customWidth="1"/>
    <col min="15368" max="15368" width="10.6640625" style="2" customWidth="1"/>
    <col min="15369" max="15369" width="10.88671875" style="2" bestFit="1" customWidth="1"/>
    <col min="15370" max="15370" width="9.88671875" style="2" bestFit="1" customWidth="1"/>
    <col min="15371" max="15372" width="11" style="2" bestFit="1" customWidth="1"/>
    <col min="15373" max="15616" width="9.109375" style="2"/>
    <col min="15617" max="15617" width="9.6640625" style="2" customWidth="1"/>
    <col min="15618" max="15618" width="42.109375" style="2" customWidth="1"/>
    <col min="15619" max="15620" width="10" style="2" bestFit="1" customWidth="1"/>
    <col min="15621" max="15621" width="12.88671875" style="2" customWidth="1"/>
    <col min="15622" max="15622" width="105.88671875" style="2" customWidth="1"/>
    <col min="15623" max="15623" width="12.109375" style="2" bestFit="1" customWidth="1"/>
    <col min="15624" max="15624" width="10.6640625" style="2" customWidth="1"/>
    <col min="15625" max="15625" width="10.88671875" style="2" bestFit="1" customWidth="1"/>
    <col min="15626" max="15626" width="9.88671875" style="2" bestFit="1" customWidth="1"/>
    <col min="15627" max="15628" width="11" style="2" bestFit="1" customWidth="1"/>
    <col min="15629" max="15872" width="9.109375" style="2"/>
    <col min="15873" max="15873" width="9.6640625" style="2" customWidth="1"/>
    <col min="15874" max="15874" width="42.109375" style="2" customWidth="1"/>
    <col min="15875" max="15876" width="10" style="2" bestFit="1" customWidth="1"/>
    <col min="15877" max="15877" width="12.88671875" style="2" customWidth="1"/>
    <col min="15878" max="15878" width="105.88671875" style="2" customWidth="1"/>
    <col min="15879" max="15879" width="12.109375" style="2" bestFit="1" customWidth="1"/>
    <col min="15880" max="15880" width="10.6640625" style="2" customWidth="1"/>
    <col min="15881" max="15881" width="10.88671875" style="2" bestFit="1" customWidth="1"/>
    <col min="15882" max="15882" width="9.88671875" style="2" bestFit="1" customWidth="1"/>
    <col min="15883" max="15884" width="11" style="2" bestFit="1" customWidth="1"/>
    <col min="15885" max="16128" width="9.109375" style="2"/>
    <col min="16129" max="16129" width="9.6640625" style="2" customWidth="1"/>
    <col min="16130" max="16130" width="42.109375" style="2" customWidth="1"/>
    <col min="16131" max="16132" width="10" style="2" bestFit="1" customWidth="1"/>
    <col min="16133" max="16133" width="12.88671875" style="2" customWidth="1"/>
    <col min="16134" max="16134" width="105.88671875" style="2" customWidth="1"/>
    <col min="16135" max="16135" width="12.109375" style="2" bestFit="1" customWidth="1"/>
    <col min="16136" max="16136" width="10.6640625" style="2" customWidth="1"/>
    <col min="16137" max="16137" width="10.88671875" style="2" bestFit="1" customWidth="1"/>
    <col min="16138" max="16138" width="9.88671875" style="2" bestFit="1" customWidth="1"/>
    <col min="16139" max="16140" width="11" style="2" bestFit="1" customWidth="1"/>
    <col min="16141" max="16384" width="9.109375" style="2"/>
  </cols>
  <sheetData>
    <row r="2" spans="1:12" ht="16.2" x14ac:dyDescent="0.3">
      <c r="A2" s="1"/>
      <c r="B2" s="1"/>
      <c r="C2" s="1"/>
      <c r="D2" s="1"/>
      <c r="E2" s="87"/>
      <c r="F2" s="88" t="s">
        <v>139</v>
      </c>
      <c r="G2" s="1"/>
      <c r="H2" s="1"/>
      <c r="I2" s="1"/>
    </row>
    <row r="3" spans="1:12" ht="16.2" x14ac:dyDescent="0.3">
      <c r="C3" s="5"/>
      <c r="D3" s="5"/>
      <c r="E3" s="89"/>
      <c r="F3" s="90" t="s">
        <v>140</v>
      </c>
    </row>
    <row r="4" spans="1:12" ht="16.8" thickBot="1" x14ac:dyDescent="0.35">
      <c r="A4" s="1" t="s">
        <v>0</v>
      </c>
      <c r="B4" s="8"/>
      <c r="C4" s="3"/>
      <c r="D4" s="3"/>
    </row>
    <row r="5" spans="1:12" ht="18" customHeight="1" x14ac:dyDescent="0.3">
      <c r="A5" s="46"/>
      <c r="B5" s="9" t="s">
        <v>1</v>
      </c>
      <c r="C5" s="10"/>
      <c r="D5" s="10"/>
      <c r="E5" s="49"/>
      <c r="F5" s="50" t="s">
        <v>2</v>
      </c>
      <c r="G5" s="11"/>
      <c r="H5" s="11"/>
      <c r="I5" s="11"/>
      <c r="J5" s="11"/>
      <c r="K5" s="11"/>
      <c r="L5" s="12"/>
    </row>
    <row r="6" spans="1:12" ht="12" customHeight="1" x14ac:dyDescent="0.25">
      <c r="A6" s="47" t="s">
        <v>3</v>
      </c>
      <c r="B6" s="51"/>
      <c r="C6" s="13" t="s">
        <v>4</v>
      </c>
      <c r="D6" s="13"/>
      <c r="E6" s="14"/>
      <c r="F6" s="52"/>
      <c r="I6" s="7"/>
      <c r="J6" s="7"/>
      <c r="K6" s="7"/>
    </row>
    <row r="7" spans="1:12" ht="15" customHeight="1" x14ac:dyDescent="0.25">
      <c r="A7" s="91" t="s">
        <v>5</v>
      </c>
      <c r="B7" s="53" t="s">
        <v>6</v>
      </c>
      <c r="C7" s="15" t="s">
        <v>7</v>
      </c>
      <c r="D7" s="15" t="s">
        <v>8</v>
      </c>
      <c r="E7" s="64">
        <v>1.9140136577858815</v>
      </c>
      <c r="F7" s="67" t="s">
        <v>9</v>
      </c>
      <c r="G7" s="17"/>
      <c r="H7" s="17"/>
      <c r="I7" s="17"/>
      <c r="J7" s="17"/>
      <c r="K7" s="17"/>
      <c r="L7" s="18"/>
    </row>
    <row r="8" spans="1:12" ht="15" customHeight="1" x14ac:dyDescent="0.25">
      <c r="A8" s="91"/>
      <c r="B8" s="53" t="s">
        <v>10</v>
      </c>
      <c r="C8" s="15" t="s">
        <v>11</v>
      </c>
      <c r="D8" s="15" t="s">
        <v>8</v>
      </c>
      <c r="E8" s="64">
        <v>1.8771165940978201</v>
      </c>
      <c r="F8" s="67" t="s">
        <v>9</v>
      </c>
      <c r="G8" s="17"/>
      <c r="H8" s="17"/>
      <c r="I8" s="17"/>
      <c r="J8" s="17"/>
      <c r="K8" s="17"/>
      <c r="L8" s="18"/>
    </row>
    <row r="9" spans="1:12" ht="15" customHeight="1" x14ac:dyDescent="0.25">
      <c r="A9" s="91"/>
      <c r="B9" s="53" t="s">
        <v>12</v>
      </c>
      <c r="C9" s="15" t="s">
        <v>13</v>
      </c>
      <c r="D9" s="15" t="s">
        <v>8</v>
      </c>
      <c r="E9" s="64">
        <v>50.5</v>
      </c>
      <c r="F9" s="67" t="s">
        <v>9</v>
      </c>
      <c r="G9" s="17"/>
      <c r="H9" s="17"/>
      <c r="I9" s="17"/>
      <c r="J9" s="17"/>
      <c r="K9" s="17"/>
      <c r="L9" s="18"/>
    </row>
    <row r="10" spans="1:12" ht="15" customHeight="1" x14ac:dyDescent="0.25">
      <c r="A10" s="91"/>
      <c r="B10" s="53" t="s">
        <v>14</v>
      </c>
      <c r="C10" s="14" t="s">
        <v>15</v>
      </c>
      <c r="D10" s="15" t="s">
        <v>8</v>
      </c>
      <c r="E10" s="63">
        <v>45.7088697481163</v>
      </c>
      <c r="F10" s="67" t="s">
        <v>9</v>
      </c>
      <c r="G10" s="19"/>
      <c r="H10" s="19"/>
      <c r="I10" s="19"/>
      <c r="J10" s="19"/>
      <c r="K10" s="19"/>
      <c r="L10" s="18"/>
    </row>
    <row r="11" spans="1:12" ht="15" customHeight="1" x14ac:dyDescent="0.25">
      <c r="A11" s="91"/>
      <c r="B11" s="53" t="s">
        <v>16</v>
      </c>
      <c r="C11" s="14"/>
      <c r="D11" s="15" t="s">
        <v>8</v>
      </c>
      <c r="E11" s="64">
        <v>2.34</v>
      </c>
      <c r="F11" s="67" t="s">
        <v>9</v>
      </c>
      <c r="G11" s="17"/>
      <c r="H11" s="17"/>
      <c r="I11" s="17"/>
      <c r="J11" s="17"/>
      <c r="K11" s="17"/>
      <c r="L11" s="18"/>
    </row>
    <row r="12" spans="1:12" ht="15" customHeight="1" x14ac:dyDescent="0.25">
      <c r="A12" s="91"/>
      <c r="B12" s="53" t="s">
        <v>17</v>
      </c>
      <c r="C12" s="15" t="s">
        <v>18</v>
      </c>
      <c r="D12" s="15" t="s">
        <v>8</v>
      </c>
      <c r="E12" s="70">
        <v>2248.92</v>
      </c>
      <c r="F12" s="67" t="s">
        <v>9</v>
      </c>
      <c r="G12" s="20"/>
      <c r="H12" s="20"/>
      <c r="I12" s="20"/>
      <c r="J12" s="20"/>
      <c r="K12" s="20"/>
      <c r="L12" s="18"/>
    </row>
    <row r="13" spans="1:12" ht="15" customHeight="1" x14ac:dyDescent="0.25">
      <c r="A13" s="91"/>
      <c r="B13" s="53"/>
      <c r="C13" s="15"/>
      <c r="D13" s="15"/>
      <c r="E13" s="21"/>
      <c r="F13" s="52"/>
      <c r="I13" s="22"/>
      <c r="L13" s="18"/>
    </row>
    <row r="14" spans="1:12" ht="15" customHeight="1" x14ac:dyDescent="0.25">
      <c r="A14" s="91" t="s">
        <v>19</v>
      </c>
      <c r="B14" s="53" t="s">
        <v>20</v>
      </c>
      <c r="C14" s="15" t="s">
        <v>21</v>
      </c>
      <c r="D14" s="15" t="s">
        <v>8</v>
      </c>
      <c r="E14" s="16">
        <v>0</v>
      </c>
      <c r="F14" s="54" t="s">
        <v>138</v>
      </c>
      <c r="G14" s="17"/>
      <c r="H14" s="17"/>
      <c r="I14" s="17"/>
      <c r="J14" s="17"/>
      <c r="K14" s="17"/>
      <c r="L14" s="18"/>
    </row>
    <row r="15" spans="1:12" ht="15" customHeight="1" x14ac:dyDescent="0.25">
      <c r="A15" s="91"/>
      <c r="B15" s="55" t="s">
        <v>23</v>
      </c>
      <c r="C15" s="23" t="s">
        <v>24</v>
      </c>
      <c r="D15" s="15" t="s">
        <v>8</v>
      </c>
      <c r="E15" s="14">
        <f>E10+0.9*(E8-14)</f>
        <v>34.79827468280434</v>
      </c>
      <c r="F15" s="56" t="s">
        <v>25</v>
      </c>
      <c r="G15" s="19"/>
      <c r="H15" s="19"/>
      <c r="I15" s="19"/>
      <c r="J15" s="19"/>
      <c r="K15" s="19"/>
      <c r="L15" s="18"/>
    </row>
    <row r="16" spans="1:12" ht="15" customHeight="1" x14ac:dyDescent="0.25">
      <c r="A16" s="91"/>
      <c r="B16" s="55" t="s">
        <v>26</v>
      </c>
      <c r="C16" s="23" t="s">
        <v>27</v>
      </c>
      <c r="D16" s="15" t="s">
        <v>8</v>
      </c>
      <c r="E16" s="16">
        <f>E8*(7.35/(E8+10)-0.013)</f>
        <v>1.1372268121790174</v>
      </c>
      <c r="F16" s="54" t="s">
        <v>28</v>
      </c>
      <c r="G16" s="17"/>
      <c r="H16" s="17"/>
      <c r="I16" s="17"/>
      <c r="J16" s="17"/>
      <c r="K16" s="17"/>
      <c r="L16" s="18"/>
    </row>
    <row r="17" spans="1:12" ht="15" customHeight="1" x14ac:dyDescent="0.25">
      <c r="A17" s="91"/>
      <c r="B17" s="55" t="s">
        <v>29</v>
      </c>
      <c r="C17" s="23" t="s">
        <v>30</v>
      </c>
      <c r="D17" s="15" t="s">
        <v>8</v>
      </c>
      <c r="E17" s="16">
        <f>(2.1-(0.012*E8))</f>
        <v>2.0774746008708265</v>
      </c>
      <c r="F17" s="54" t="s">
        <v>31</v>
      </c>
      <c r="G17" s="17"/>
      <c r="H17" s="17"/>
      <c r="I17" s="17"/>
      <c r="J17" s="17"/>
      <c r="K17" s="17"/>
      <c r="L17" s="18"/>
    </row>
    <row r="18" spans="1:12" ht="15" customHeight="1" x14ac:dyDescent="0.25">
      <c r="A18" s="91"/>
      <c r="B18" s="55" t="s">
        <v>32</v>
      </c>
      <c r="C18" s="23" t="s">
        <v>33</v>
      </c>
      <c r="D18" s="15" t="s">
        <v>8</v>
      </c>
      <c r="E18" s="14">
        <f>100-E15-E16-E14-E17-E7-E9</f>
        <v>9.5730102463599351</v>
      </c>
      <c r="F18" s="56" t="s">
        <v>34</v>
      </c>
      <c r="G18" s="19"/>
      <c r="H18" s="19"/>
      <c r="I18" s="19"/>
      <c r="J18" s="19"/>
      <c r="K18" s="19"/>
      <c r="L18" s="18"/>
    </row>
    <row r="19" spans="1:12" ht="15" customHeight="1" x14ac:dyDescent="0.25">
      <c r="A19" s="91"/>
      <c r="B19" s="57"/>
      <c r="C19" s="24"/>
      <c r="D19" s="15"/>
      <c r="E19" s="14"/>
      <c r="F19" s="56"/>
      <c r="G19" s="19"/>
      <c r="H19" s="19"/>
      <c r="I19" s="22"/>
      <c r="L19" s="18"/>
    </row>
    <row r="20" spans="1:12" ht="15" customHeight="1" x14ac:dyDescent="0.25">
      <c r="A20" s="91" t="s">
        <v>35</v>
      </c>
      <c r="B20" s="51" t="s">
        <v>36</v>
      </c>
      <c r="C20" s="13" t="s">
        <v>37</v>
      </c>
      <c r="D20" s="25" t="s">
        <v>38</v>
      </c>
      <c r="E20" s="62">
        <v>182.83</v>
      </c>
      <c r="F20" s="66" t="s">
        <v>39</v>
      </c>
      <c r="G20" s="26"/>
      <c r="H20" s="26"/>
      <c r="I20" s="26"/>
      <c r="J20" s="26"/>
      <c r="K20" s="26"/>
      <c r="L20" s="18"/>
    </row>
    <row r="21" spans="1:12" ht="15" customHeight="1" x14ac:dyDescent="0.25">
      <c r="A21" s="91"/>
      <c r="B21" s="53" t="s">
        <v>40</v>
      </c>
      <c r="C21" s="15"/>
      <c r="D21" s="27" t="s">
        <v>41</v>
      </c>
      <c r="E21" s="63">
        <v>26</v>
      </c>
      <c r="F21" s="66" t="s">
        <v>42</v>
      </c>
      <c r="G21" s="19"/>
      <c r="H21" s="19"/>
      <c r="I21" s="19"/>
      <c r="J21" s="19"/>
      <c r="K21" s="19"/>
      <c r="L21" s="18"/>
    </row>
    <row r="22" spans="1:12" ht="15" customHeight="1" x14ac:dyDescent="0.25">
      <c r="A22" s="91"/>
      <c r="B22" s="53" t="s">
        <v>43</v>
      </c>
      <c r="C22" s="21"/>
      <c r="D22" s="27" t="s">
        <v>41</v>
      </c>
      <c r="E22" s="63">
        <v>18</v>
      </c>
      <c r="F22" s="67" t="s">
        <v>44</v>
      </c>
      <c r="G22" s="19"/>
      <c r="H22" s="19"/>
      <c r="I22" s="19"/>
      <c r="J22" s="19"/>
      <c r="K22" s="19"/>
      <c r="L22" s="18"/>
    </row>
    <row r="23" spans="1:12" ht="15" customHeight="1" x14ac:dyDescent="0.25">
      <c r="A23" s="91"/>
      <c r="B23" s="53" t="s">
        <v>45</v>
      </c>
      <c r="C23" s="15" t="s">
        <v>46</v>
      </c>
      <c r="D23" s="27" t="s">
        <v>41</v>
      </c>
      <c r="E23" s="14">
        <f>(E21+E22)/2</f>
        <v>22</v>
      </c>
      <c r="F23" s="56" t="s">
        <v>47</v>
      </c>
      <c r="G23" s="19"/>
      <c r="H23" s="19"/>
      <c r="I23" s="19"/>
      <c r="J23" s="19"/>
      <c r="K23" s="19"/>
      <c r="L23" s="18"/>
    </row>
    <row r="24" spans="1:12" s="28" customFormat="1" ht="15" customHeight="1" x14ac:dyDescent="0.3">
      <c r="A24" s="91"/>
      <c r="B24" s="51" t="s">
        <v>48</v>
      </c>
      <c r="C24" s="24" t="s">
        <v>49</v>
      </c>
      <c r="D24" s="13" t="s">
        <v>8</v>
      </c>
      <c r="E24" s="62">
        <v>8.9700000000000006</v>
      </c>
      <c r="F24" s="66" t="s">
        <v>50</v>
      </c>
      <c r="G24" s="22"/>
      <c r="H24" s="22"/>
      <c r="I24" s="22"/>
      <c r="J24" s="22"/>
      <c r="K24" s="22"/>
      <c r="L24" s="18"/>
    </row>
    <row r="25" spans="1:12" ht="15" customHeight="1" x14ac:dyDescent="0.3">
      <c r="A25" s="91"/>
      <c r="B25" s="53" t="s">
        <v>51</v>
      </c>
      <c r="C25" s="23" t="s">
        <v>52</v>
      </c>
      <c r="D25" s="15" t="s">
        <v>8</v>
      </c>
      <c r="E25" s="64">
        <v>11.764900000000001</v>
      </c>
      <c r="F25" s="67" t="s">
        <v>53</v>
      </c>
      <c r="G25" s="17"/>
      <c r="H25" s="17"/>
      <c r="I25" s="17"/>
      <c r="J25" s="17"/>
      <c r="K25" s="17"/>
      <c r="L25" s="18"/>
    </row>
    <row r="26" spans="1:12" ht="15" customHeight="1" x14ac:dyDescent="0.25">
      <c r="A26" s="91"/>
      <c r="B26" s="53" t="s">
        <v>54</v>
      </c>
      <c r="C26" s="23" t="s">
        <v>55</v>
      </c>
      <c r="D26" s="15" t="s">
        <v>8</v>
      </c>
      <c r="E26" s="65">
        <v>6.5100000000000005E-2</v>
      </c>
      <c r="F26" s="68" t="s">
        <v>56</v>
      </c>
      <c r="G26" s="29"/>
      <c r="H26" s="29"/>
      <c r="I26" s="29"/>
      <c r="J26" s="29"/>
      <c r="K26" s="29"/>
      <c r="L26" s="18"/>
    </row>
    <row r="27" spans="1:12" ht="15" customHeight="1" x14ac:dyDescent="0.3">
      <c r="A27" s="91"/>
      <c r="B27" s="53" t="s">
        <v>57</v>
      </c>
      <c r="C27" s="23" t="s">
        <v>58</v>
      </c>
      <c r="D27" s="15" t="s">
        <v>8</v>
      </c>
      <c r="E27" s="63">
        <v>79.2</v>
      </c>
      <c r="F27" s="66" t="s">
        <v>59</v>
      </c>
      <c r="G27" s="19"/>
      <c r="H27" s="19"/>
      <c r="I27" s="19"/>
      <c r="J27" s="19"/>
      <c r="K27" s="19"/>
      <c r="L27" s="18"/>
    </row>
    <row r="28" spans="1:12" s="30" customFormat="1" ht="15" customHeight="1" x14ac:dyDescent="0.25">
      <c r="A28" s="91"/>
      <c r="B28" s="53" t="s">
        <v>60</v>
      </c>
      <c r="C28" s="23" t="s">
        <v>61</v>
      </c>
      <c r="D28" s="15"/>
      <c r="E28" s="63">
        <v>32000</v>
      </c>
      <c r="F28" s="66" t="s">
        <v>62</v>
      </c>
      <c r="G28" s="19"/>
      <c r="H28" s="19"/>
      <c r="I28" s="19"/>
      <c r="J28" s="19"/>
      <c r="K28" s="19"/>
      <c r="L28" s="18"/>
    </row>
    <row r="29" spans="1:12" s="30" customFormat="1" ht="15" customHeight="1" x14ac:dyDescent="0.25">
      <c r="A29" s="91"/>
      <c r="B29" s="53" t="s">
        <v>63</v>
      </c>
      <c r="C29" s="23"/>
      <c r="D29" s="15"/>
      <c r="E29" s="63">
        <v>2</v>
      </c>
      <c r="F29" s="66" t="s">
        <v>64</v>
      </c>
      <c r="G29" s="19"/>
      <c r="H29" s="19"/>
      <c r="I29" s="19"/>
      <c r="J29" s="19"/>
      <c r="K29" s="19"/>
      <c r="L29" s="18"/>
    </row>
    <row r="30" spans="1:12" s="30" customFormat="1" ht="15" customHeight="1" x14ac:dyDescent="0.25">
      <c r="A30" s="91"/>
      <c r="B30" s="53" t="s">
        <v>65</v>
      </c>
      <c r="C30" s="23" t="s">
        <v>61</v>
      </c>
      <c r="D30" s="15"/>
      <c r="E30" s="14">
        <f>E28/E29</f>
        <v>16000</v>
      </c>
      <c r="F30" s="56" t="s">
        <v>66</v>
      </c>
      <c r="G30" s="19"/>
      <c r="H30" s="19"/>
      <c r="I30" s="19"/>
      <c r="J30" s="19"/>
      <c r="K30" s="19"/>
      <c r="L30" s="18"/>
    </row>
    <row r="31" spans="1:12" s="30" customFormat="1" ht="15" customHeight="1" x14ac:dyDescent="0.3">
      <c r="A31" s="91"/>
      <c r="B31" s="55" t="s">
        <v>67</v>
      </c>
      <c r="C31" s="23" t="s">
        <v>61</v>
      </c>
      <c r="D31" s="15" t="s">
        <v>134</v>
      </c>
      <c r="E31" s="63">
        <v>0</v>
      </c>
      <c r="F31" s="67" t="s">
        <v>9</v>
      </c>
      <c r="G31" s="19"/>
      <c r="H31" s="19"/>
      <c r="I31" s="19"/>
      <c r="J31" s="19"/>
      <c r="K31" s="19"/>
      <c r="L31" s="18"/>
    </row>
    <row r="32" spans="1:12" ht="15" customHeight="1" x14ac:dyDescent="0.25">
      <c r="A32" s="91"/>
      <c r="B32" s="53"/>
      <c r="C32" s="24"/>
      <c r="D32" s="15"/>
      <c r="E32" s="21"/>
      <c r="F32" s="52"/>
      <c r="I32" s="22"/>
      <c r="L32" s="18"/>
    </row>
    <row r="33" spans="1:12" s="3" customFormat="1" ht="15" customHeight="1" x14ac:dyDescent="0.25">
      <c r="A33" s="92" t="s">
        <v>68</v>
      </c>
      <c r="B33" s="51" t="s">
        <v>69</v>
      </c>
      <c r="C33" s="13" t="s">
        <v>70</v>
      </c>
      <c r="D33" s="13" t="s">
        <v>8</v>
      </c>
      <c r="E33" s="69">
        <v>84.783689706613714</v>
      </c>
      <c r="F33" s="67" t="s">
        <v>9</v>
      </c>
      <c r="G33" s="31"/>
      <c r="H33" s="31"/>
      <c r="I33" s="31"/>
      <c r="J33" s="31"/>
      <c r="K33" s="31"/>
      <c r="L33" s="18"/>
    </row>
    <row r="34" spans="1:12" s="3" customFormat="1" ht="15" customHeight="1" x14ac:dyDescent="0.25">
      <c r="A34" s="92"/>
      <c r="B34" s="51" t="s">
        <v>71</v>
      </c>
      <c r="C34" s="13" t="s">
        <v>72</v>
      </c>
      <c r="D34" s="13" t="s">
        <v>8</v>
      </c>
      <c r="E34" s="69">
        <v>78.844637223974729</v>
      </c>
      <c r="F34" s="67" t="s">
        <v>9</v>
      </c>
      <c r="G34" s="31"/>
      <c r="H34" s="31"/>
      <c r="I34" s="31"/>
      <c r="J34" s="31"/>
      <c r="K34" s="31"/>
      <c r="L34" s="18"/>
    </row>
    <row r="35" spans="1:12" s="3" customFormat="1" ht="15" customHeight="1" x14ac:dyDescent="0.25">
      <c r="A35" s="92"/>
      <c r="B35" s="58"/>
      <c r="C35" s="32"/>
      <c r="D35" s="32"/>
      <c r="E35" s="32"/>
      <c r="F35" s="52"/>
      <c r="G35" s="2"/>
      <c r="H35" s="2"/>
      <c r="I35" s="22"/>
      <c r="L35" s="18"/>
    </row>
    <row r="36" spans="1:12" ht="20.100000000000001" customHeight="1" x14ac:dyDescent="0.25">
      <c r="A36" s="91" t="s">
        <v>73</v>
      </c>
      <c r="B36" s="59" t="s">
        <v>74</v>
      </c>
      <c r="C36" s="33" t="s">
        <v>75</v>
      </c>
      <c r="D36" s="13" t="s">
        <v>76</v>
      </c>
      <c r="E36" s="71">
        <f>E37*E40</f>
        <v>2.3860026912560035</v>
      </c>
      <c r="F36" s="72" t="s">
        <v>77</v>
      </c>
      <c r="G36" s="34"/>
      <c r="H36" s="34"/>
      <c r="I36" s="34"/>
      <c r="J36" s="34"/>
      <c r="K36" s="34"/>
      <c r="L36" s="18"/>
    </row>
    <row r="37" spans="1:12" ht="20.100000000000001" customHeight="1" x14ac:dyDescent="0.25">
      <c r="A37" s="91"/>
      <c r="B37" s="60" t="s">
        <v>78</v>
      </c>
      <c r="C37" s="35" t="s">
        <v>79</v>
      </c>
      <c r="D37" s="15" t="s">
        <v>80</v>
      </c>
      <c r="E37" s="73">
        <f>E38/E39</f>
        <v>1.9140136577858815E-2</v>
      </c>
      <c r="F37" s="74" t="s">
        <v>81</v>
      </c>
      <c r="G37" s="36"/>
      <c r="H37" s="36"/>
      <c r="I37" s="36"/>
      <c r="J37" s="36"/>
      <c r="K37" s="36"/>
      <c r="L37" s="18"/>
    </row>
    <row r="38" spans="1:12" ht="20.100000000000001" customHeight="1" x14ac:dyDescent="0.25">
      <c r="A38" s="91"/>
      <c r="B38" s="60" t="s">
        <v>82</v>
      </c>
      <c r="C38" s="35" t="s">
        <v>83</v>
      </c>
      <c r="D38" s="23" t="s">
        <v>61</v>
      </c>
      <c r="E38" s="75">
        <f>E30*E7/100</f>
        <v>306.24218524574104</v>
      </c>
      <c r="F38" s="76" t="s">
        <v>84</v>
      </c>
      <c r="G38" s="20"/>
      <c r="H38" s="20"/>
      <c r="I38" s="20"/>
      <c r="J38" s="20"/>
      <c r="K38" s="20"/>
      <c r="L38" s="18"/>
    </row>
    <row r="39" spans="1:12" ht="20.100000000000001" customHeight="1" x14ac:dyDescent="0.25">
      <c r="A39" s="91"/>
      <c r="B39" s="60" t="s">
        <v>85</v>
      </c>
      <c r="C39" s="35" t="s">
        <v>86</v>
      </c>
      <c r="D39" s="23" t="s">
        <v>61</v>
      </c>
      <c r="E39" s="75">
        <f>E30</f>
        <v>16000</v>
      </c>
      <c r="F39" s="76" t="s">
        <v>65</v>
      </c>
      <c r="G39" s="20"/>
      <c r="H39" s="20"/>
      <c r="I39" s="20"/>
      <c r="J39" s="20"/>
      <c r="K39" s="20"/>
      <c r="L39" s="18"/>
    </row>
    <row r="40" spans="1:12" ht="31.2" customHeight="1" x14ac:dyDescent="0.25">
      <c r="A40" s="91"/>
      <c r="B40" s="60" t="s">
        <v>87</v>
      </c>
      <c r="C40" s="35" t="s">
        <v>88</v>
      </c>
      <c r="D40" s="15" t="s">
        <v>76</v>
      </c>
      <c r="E40" s="77">
        <f>(70/100*E7/100*E34/100*8078)+(E7/100*30/100*E33/100*8078)</f>
        <v>124.65964814567289</v>
      </c>
      <c r="F40" s="78" t="s">
        <v>89</v>
      </c>
      <c r="G40" s="19"/>
      <c r="H40" s="19"/>
      <c r="I40" s="19"/>
      <c r="J40" s="19"/>
      <c r="K40" s="19"/>
      <c r="L40" s="18"/>
    </row>
    <row r="41" spans="1:12" ht="28.2" customHeight="1" x14ac:dyDescent="0.25">
      <c r="A41" s="91"/>
      <c r="B41" s="57" t="s">
        <v>90</v>
      </c>
      <c r="C41" s="24" t="s">
        <v>91</v>
      </c>
      <c r="D41" s="13" t="s">
        <v>76</v>
      </c>
      <c r="E41" s="71">
        <f>E43*E44*(E20-E23)</f>
        <v>287.33833583329829</v>
      </c>
      <c r="F41" s="79" t="s">
        <v>92</v>
      </c>
      <c r="G41" s="34"/>
      <c r="H41" s="34"/>
      <c r="I41" s="34"/>
      <c r="J41" s="34"/>
      <c r="K41" s="34"/>
      <c r="L41" s="18"/>
    </row>
    <row r="42" spans="1:12" ht="20.100000000000001" customHeight="1" x14ac:dyDescent="0.25">
      <c r="A42" s="91"/>
      <c r="B42" s="60" t="s">
        <v>93</v>
      </c>
      <c r="C42" s="35" t="s">
        <v>94</v>
      </c>
      <c r="D42" s="15" t="s">
        <v>80</v>
      </c>
      <c r="E42" s="73">
        <f>E15/100-(E37*E40/8078)</f>
        <v>0.34768737635376068</v>
      </c>
      <c r="F42" s="74" t="s">
        <v>95</v>
      </c>
      <c r="G42" s="36"/>
      <c r="H42" s="36"/>
      <c r="I42" s="36"/>
      <c r="J42" s="36"/>
      <c r="K42" s="36"/>
      <c r="L42" s="18"/>
    </row>
    <row r="43" spans="1:12" ht="45" customHeight="1" x14ac:dyDescent="0.25">
      <c r="A43" s="91"/>
      <c r="B43" s="60" t="s">
        <v>96</v>
      </c>
      <c r="C43" s="35" t="s">
        <v>97</v>
      </c>
      <c r="D43" s="15" t="s">
        <v>80</v>
      </c>
      <c r="E43" s="80">
        <f>((44.01*E25+32*E24+28.02*E27+28.01*E26)/(12.01*(E25+E26)))*(E42+E14/267)</f>
        <v>7.4046470185798938</v>
      </c>
      <c r="F43" s="79" t="s">
        <v>98</v>
      </c>
      <c r="G43" s="37"/>
      <c r="H43" s="37"/>
      <c r="I43" s="37"/>
      <c r="J43" s="37"/>
      <c r="K43" s="37"/>
      <c r="L43" s="18"/>
    </row>
    <row r="44" spans="1:12" ht="20.100000000000001" customHeight="1" x14ac:dyDescent="0.25">
      <c r="A44" s="91"/>
      <c r="B44" s="60" t="s">
        <v>99</v>
      </c>
      <c r="C44" s="35" t="s">
        <v>100</v>
      </c>
      <c r="D44" s="15" t="s">
        <v>101</v>
      </c>
      <c r="E44" s="80">
        <f>1.01/4.186</f>
        <v>0.24128045867176304</v>
      </c>
      <c r="F44" s="72" t="s">
        <v>102</v>
      </c>
      <c r="G44" s="37"/>
      <c r="H44" s="37"/>
      <c r="I44" s="37"/>
      <c r="J44" s="37"/>
      <c r="K44" s="37"/>
      <c r="L44" s="18"/>
    </row>
    <row r="45" spans="1:12" ht="26.4" customHeight="1" x14ac:dyDescent="0.25">
      <c r="A45" s="91"/>
      <c r="B45" s="57" t="s">
        <v>103</v>
      </c>
      <c r="C45" s="24" t="s">
        <v>104</v>
      </c>
      <c r="D45" s="13" t="s">
        <v>76</v>
      </c>
      <c r="E45" s="71">
        <f>E46*(E47-E48)</f>
        <v>342.93269645246062</v>
      </c>
      <c r="F45" s="79" t="s">
        <v>105</v>
      </c>
      <c r="G45" s="34"/>
      <c r="H45" s="34"/>
      <c r="I45" s="34"/>
      <c r="J45" s="34"/>
      <c r="K45" s="34"/>
      <c r="L45" s="18"/>
    </row>
    <row r="46" spans="1:12" ht="20.100000000000001" customHeight="1" x14ac:dyDescent="0.25">
      <c r="A46" s="91"/>
      <c r="B46" s="60" t="s">
        <v>106</v>
      </c>
      <c r="C46" s="35" t="s">
        <v>107</v>
      </c>
      <c r="D46" s="15" t="s">
        <v>80</v>
      </c>
      <c r="E46" s="80">
        <f>E9/100</f>
        <v>0.505</v>
      </c>
      <c r="F46" s="72" t="s">
        <v>108</v>
      </c>
      <c r="G46" s="37"/>
      <c r="H46" s="37"/>
      <c r="I46" s="37"/>
      <c r="J46" s="37"/>
      <c r="K46" s="37"/>
      <c r="L46" s="18"/>
    </row>
    <row r="47" spans="1:12" ht="15" x14ac:dyDescent="0.25">
      <c r="A47" s="91"/>
      <c r="B47" s="60" t="s">
        <v>109</v>
      </c>
      <c r="C47" s="23" t="s">
        <v>135</v>
      </c>
      <c r="D47" s="15" t="s">
        <v>76</v>
      </c>
      <c r="E47" s="77">
        <f>(2501+(1.88*E20))/4.186</f>
        <v>679.57964644051606</v>
      </c>
      <c r="F47" s="81" t="s">
        <v>137</v>
      </c>
      <c r="G47" s="19"/>
      <c r="H47" s="19"/>
      <c r="I47" s="19"/>
      <c r="J47" s="19"/>
      <c r="K47" s="19"/>
      <c r="L47" s="18"/>
    </row>
    <row r="48" spans="1:12" ht="20.100000000000001" customHeight="1" x14ac:dyDescent="0.25">
      <c r="A48" s="91"/>
      <c r="B48" s="60" t="s">
        <v>110</v>
      </c>
      <c r="C48" s="35" t="s">
        <v>136</v>
      </c>
      <c r="D48" s="15" t="s">
        <v>76</v>
      </c>
      <c r="E48" s="77">
        <f>E46</f>
        <v>0.505</v>
      </c>
      <c r="F48" s="81" t="s">
        <v>106</v>
      </c>
      <c r="G48" s="19"/>
      <c r="H48" s="19"/>
      <c r="I48" s="19"/>
      <c r="J48" s="19"/>
      <c r="K48" s="19"/>
      <c r="L48" s="18"/>
    </row>
    <row r="49" spans="1:12" ht="28.8" customHeight="1" x14ac:dyDescent="0.25">
      <c r="A49" s="91"/>
      <c r="B49" s="57" t="s">
        <v>111</v>
      </c>
      <c r="C49" s="24" t="s">
        <v>112</v>
      </c>
      <c r="D49" s="13" t="s">
        <v>76</v>
      </c>
      <c r="E49" s="71">
        <f>8.936*E16/100*(E47-E48)</f>
        <v>69.009322973224727</v>
      </c>
      <c r="F49" s="79" t="s">
        <v>113</v>
      </c>
      <c r="G49" s="34"/>
      <c r="H49" s="34"/>
      <c r="I49" s="34"/>
      <c r="J49" s="34"/>
      <c r="K49" s="34"/>
      <c r="L49" s="18"/>
    </row>
    <row r="50" spans="1:12" ht="30.6" customHeight="1" x14ac:dyDescent="0.25">
      <c r="A50" s="91"/>
      <c r="B50" s="57" t="s">
        <v>114</v>
      </c>
      <c r="C50" s="24" t="s">
        <v>115</v>
      </c>
      <c r="D50" s="13" t="s">
        <v>76</v>
      </c>
      <c r="E50" s="82">
        <f>E31*(E47-E48)/E30</f>
        <v>0</v>
      </c>
      <c r="F50" s="78" t="s">
        <v>116</v>
      </c>
      <c r="G50" s="26"/>
      <c r="H50" s="26"/>
      <c r="I50" s="26"/>
      <c r="J50" s="26"/>
      <c r="K50" s="26"/>
      <c r="L50" s="18"/>
    </row>
    <row r="51" spans="1:12" ht="31.2" customHeight="1" x14ac:dyDescent="0.25">
      <c r="A51" s="91"/>
      <c r="B51" s="57" t="s">
        <v>117</v>
      </c>
      <c r="C51" s="24" t="s">
        <v>118</v>
      </c>
      <c r="D51" s="13" t="s">
        <v>76</v>
      </c>
      <c r="E51" s="71">
        <f>(E26/(E25+E26)*5644*E42)</f>
        <v>10.798717298762021</v>
      </c>
      <c r="F51" s="79" t="s">
        <v>119</v>
      </c>
      <c r="G51" s="34"/>
      <c r="H51" s="34"/>
      <c r="I51" s="34"/>
      <c r="J51" s="34"/>
      <c r="K51" s="34"/>
      <c r="L51" s="18"/>
    </row>
    <row r="52" spans="1:12" ht="20.100000000000001" customHeight="1" x14ac:dyDescent="0.25">
      <c r="A52" s="91"/>
      <c r="B52" s="57" t="s">
        <v>120</v>
      </c>
      <c r="C52" s="24" t="s">
        <v>121</v>
      </c>
      <c r="D52" s="13" t="s">
        <v>76</v>
      </c>
      <c r="E52" s="71">
        <v>0</v>
      </c>
      <c r="F52" s="83" t="s">
        <v>22</v>
      </c>
      <c r="G52" s="34"/>
      <c r="H52" s="34"/>
      <c r="I52" s="34"/>
      <c r="J52" s="34"/>
      <c r="K52" s="34"/>
      <c r="L52" s="18"/>
    </row>
    <row r="53" spans="1:12" ht="20.100000000000001" customHeight="1" x14ac:dyDescent="0.25">
      <c r="A53" s="91"/>
      <c r="B53" s="57" t="s">
        <v>122</v>
      </c>
      <c r="C53" s="24" t="s">
        <v>123</v>
      </c>
      <c r="D53" s="13" t="s">
        <v>76</v>
      </c>
      <c r="E53" s="71">
        <v>0</v>
      </c>
      <c r="F53" s="83" t="s">
        <v>22</v>
      </c>
      <c r="G53" s="34"/>
      <c r="H53" s="34"/>
      <c r="I53" s="34"/>
      <c r="J53" s="34"/>
      <c r="K53" s="34"/>
      <c r="L53" s="18"/>
    </row>
    <row r="54" spans="1:12" ht="20.100000000000001" customHeight="1" x14ac:dyDescent="0.25">
      <c r="A54" s="91"/>
      <c r="B54" s="57" t="s">
        <v>124</v>
      </c>
      <c r="C54" s="24" t="s">
        <v>125</v>
      </c>
      <c r="D54" s="13" t="s">
        <v>76</v>
      </c>
      <c r="E54" s="71">
        <f>1.5*E12/100</f>
        <v>33.733800000000002</v>
      </c>
      <c r="F54" s="72" t="s">
        <v>126</v>
      </c>
      <c r="G54" s="34"/>
      <c r="H54" s="34"/>
      <c r="I54" s="34"/>
      <c r="J54" s="34"/>
      <c r="K54" s="34"/>
      <c r="L54" s="18"/>
    </row>
    <row r="55" spans="1:12" ht="39.6" customHeight="1" x14ac:dyDescent="0.25">
      <c r="A55" s="91"/>
      <c r="B55" s="51" t="s">
        <v>127</v>
      </c>
      <c r="C55" s="32"/>
      <c r="D55" s="21" t="s">
        <v>76</v>
      </c>
      <c r="E55" s="80">
        <f>E36+E41+E45+E49+E50+E51+E52+E53</f>
        <v>712.46507524900164</v>
      </c>
      <c r="F55" s="79" t="s">
        <v>128</v>
      </c>
      <c r="G55" s="37"/>
      <c r="H55" s="37"/>
      <c r="I55" s="37"/>
      <c r="J55" s="37"/>
      <c r="K55" s="37"/>
      <c r="L55" s="18"/>
    </row>
    <row r="56" spans="1:12" ht="20.100000000000001" customHeight="1" x14ac:dyDescent="0.25">
      <c r="A56" s="91"/>
      <c r="B56" s="51" t="s">
        <v>129</v>
      </c>
      <c r="C56" s="15"/>
      <c r="D56" s="13" t="s">
        <v>8</v>
      </c>
      <c r="E56" s="84">
        <f>E55/E12*100</f>
        <v>31.68032100959579</v>
      </c>
      <c r="F56" s="83" t="s">
        <v>130</v>
      </c>
      <c r="G56" s="17"/>
      <c r="H56" s="17"/>
      <c r="I56" s="17"/>
      <c r="J56" s="17"/>
      <c r="K56" s="17"/>
      <c r="L56" s="18"/>
    </row>
    <row r="57" spans="1:12" s="3" customFormat="1" ht="20.100000000000001" customHeight="1" x14ac:dyDescent="0.25">
      <c r="A57" s="91"/>
      <c r="B57" s="51"/>
      <c r="C57" s="15"/>
      <c r="D57" s="13"/>
      <c r="E57" s="84"/>
      <c r="F57" s="83"/>
      <c r="G57" s="17"/>
      <c r="H57" s="17"/>
      <c r="I57" s="17"/>
      <c r="J57" s="17"/>
      <c r="K57" s="17"/>
      <c r="L57" s="18"/>
    </row>
    <row r="58" spans="1:12" s="30" customFormat="1" ht="20.100000000000001" customHeight="1" thickBot="1" x14ac:dyDescent="0.45">
      <c r="A58" s="48"/>
      <c r="B58" s="61" t="s">
        <v>131</v>
      </c>
      <c r="C58" s="38" t="s">
        <v>132</v>
      </c>
      <c r="D58" s="38" t="s">
        <v>8</v>
      </c>
      <c r="E58" s="85">
        <f>100-E56</f>
        <v>68.319678990404213</v>
      </c>
      <c r="F58" s="86" t="s">
        <v>133</v>
      </c>
      <c r="G58" s="39"/>
      <c r="H58" s="39"/>
      <c r="I58" s="39"/>
      <c r="J58" s="39"/>
      <c r="K58" s="39"/>
      <c r="L58" s="40"/>
    </row>
    <row r="59" spans="1:12" ht="12.75" customHeight="1" x14ac:dyDescent="0.25">
      <c r="A59" s="41"/>
      <c r="B59" s="42"/>
      <c r="C59" s="43"/>
      <c r="D59" s="44"/>
      <c r="E59" s="22"/>
    </row>
    <row r="60" spans="1:12" ht="12.75" customHeight="1" x14ac:dyDescent="0.25">
      <c r="A60" s="41"/>
      <c r="B60" s="42"/>
      <c r="C60" s="43"/>
      <c r="D60" s="44"/>
      <c r="E60" s="22"/>
    </row>
    <row r="61" spans="1:12" x14ac:dyDescent="0.25">
      <c r="E61" s="17"/>
    </row>
    <row r="63" spans="1:12" ht="17.399999999999999" x14ac:dyDescent="0.3">
      <c r="B63" s="45"/>
      <c r="E63" s="17"/>
    </row>
    <row r="65" spans="5:5" x14ac:dyDescent="0.25">
      <c r="E65" s="17"/>
    </row>
  </sheetData>
  <mergeCells count="5">
    <mergeCell ref="A7:A13"/>
    <mergeCell ref="A14:A19"/>
    <mergeCell ref="A20:A32"/>
    <mergeCell ref="A33:A35"/>
    <mergeCell ref="A36:A57"/>
  </mergeCells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- 13980 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KHADE</dc:creator>
  <cp:lastModifiedBy>Joyal Shah</cp:lastModifiedBy>
  <dcterms:created xsi:type="dcterms:W3CDTF">2026-09-24T10:23:57Z</dcterms:created>
  <dcterms:modified xsi:type="dcterms:W3CDTF">2026-10-15T10:09:24Z</dcterms:modified>
</cp:coreProperties>
</file>